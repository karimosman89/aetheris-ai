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PL_Monthly" sheetId="4" state="visible" r:id="rId4"/>
    <sheet xmlns:r="http://schemas.openxmlformats.org/officeDocument/2006/relationships" name="PL_Annual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Team" sheetId="7" state="visible" r:id="rId7"/>
    <sheet xmlns:r="http://schemas.openxmlformats.org/officeDocument/2006/relationships" name="Capex" sheetId="8" state="visible" r:id="rId8"/>
    <sheet xmlns:r="http://schemas.openxmlformats.org/officeDocument/2006/relationships" name="KPIs" sheetId="9" state="visible" r:id="rId9"/>
    <sheet xmlns:r="http://schemas.openxmlformats.org/officeDocument/2006/relationships" name="Smart&amp;Sta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;(#,##0)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6B7280"/>
      <sz val="10"/>
    </font>
    <font>
      <name val="Calibri"/>
      <b val="1"/>
      <color rgb="0000B8A9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0B1F3A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F00"/>
      </patternFill>
    </fill>
    <fill>
      <patternFill patternType="solid">
        <fgColor rgb="00E0F7F5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pivotButton="0" quotePrefix="0" xfId="0"/>
    <xf numFmtId="0" fontId="7" fillId="0" borderId="0" pivotButton="0" quotePrefix="0" xfId="0"/>
    <xf numFmtId="0" fontId="6" fillId="0" borderId="0" pivotButton="0" quotePrefix="0" xfId="0"/>
    <xf numFmtId="3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3" fontId="7" fillId="4" borderId="0" pivotButton="0" quotePrefix="0" xfId="0"/>
    <xf numFmtId="3" fontId="7" fillId="0" borderId="0" pivotButton="0" quotePrefix="0" xfId="0"/>
    <xf numFmtId="3" fontId="7" fillId="5" borderId="0" pivotButton="0" quotePrefix="0" xfId="0"/>
    <xf numFmtId="0" fontId="7" fillId="3" borderId="0" pivotButton="0" quotePrefix="0" xfId="0"/>
    <xf numFmtId="3" fontId="7" fillId="3" borderId="0" pivotButton="0" quotePrefix="0" xfId="0"/>
    <xf numFmtId="164" fontId="7" fillId="0" borderId="0" pivotButton="0" quotePrefix="0" xfId="0"/>
    <xf numFmtId="165" fontId="4" fillId="0" borderId="0" pivotButton="0" quotePrefix="0" xfId="0"/>
    <xf numFmtId="165" fontId="7" fillId="0" borderId="0" pivotButton="0" quotePrefix="0" xfId="0"/>
    <xf numFmtId="166" fontId="4" fillId="0" borderId="0" pivotButton="0" quotePrefix="0" xfId="0"/>
    <xf numFmtId="3" fontId="6" fillId="0" borderId="0" pivotButton="0" quotePrefix="0" xfId="0"/>
    <xf numFmtId="164" fontId="6" fillId="3" borderId="0" pivotButton="0" quotePrefix="0" xfId="0"/>
    <xf numFmtId="3" fontId="6" fillId="3" borderId="0" pivotButton="0" quotePrefix="0" xfId="0"/>
    <xf numFmtId="164" fontId="7" fillId="4" borderId="0" pivotButton="0" quotePrefix="0" xfId="0"/>
    <xf numFmtId="164" fontId="4" fillId="0" borderId="0" pivotButton="0" quotePrefix="0" xfId="0"/>
    <xf numFmtId="0" fontId="3" fillId="4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Financial Model v3.0 — Conservative</t>
        </is>
      </c>
    </row>
    <row r="3">
      <c r="A3" s="2" t="inlineStr">
        <is>
          <t>One-man show + advisors → team · Founder bootstrap → Smart&amp;Start + pre-seed</t>
        </is>
      </c>
    </row>
    <row r="5">
      <c r="B5" s="3" t="inlineStr">
        <is>
          <t>Sheets</t>
        </is>
      </c>
    </row>
    <row r="6">
      <c r="B6" s="4" t="inlineStr">
        <is>
          <t>Cover</t>
        </is>
      </c>
      <c r="C6" s="2" t="inlineStr">
        <is>
          <t>Questa pagina</t>
        </is>
      </c>
    </row>
    <row r="7">
      <c r="B7" s="4" t="inlineStr">
        <is>
          <t>Assumptions</t>
        </is>
      </c>
      <c r="C7" s="2" t="inlineStr">
        <is>
          <t>Tutti gli input editabili (in blu, sfondo giallo)</t>
        </is>
      </c>
    </row>
    <row r="8">
      <c r="B8" s="4" t="inlineStr">
        <is>
          <t>Revenue</t>
        </is>
      </c>
      <c r="C8" s="2" t="inlineStr">
        <is>
          <t>Revenue build bottom-up conservative</t>
        </is>
      </c>
    </row>
    <row r="9">
      <c r="B9" s="4" t="inlineStr">
        <is>
          <t>PL_Monthly</t>
        </is>
      </c>
      <c r="C9" s="2" t="inlineStr">
        <is>
          <t>Conto economico mensile 36 mesi</t>
        </is>
      </c>
    </row>
    <row r="10">
      <c r="B10" s="4" t="inlineStr">
        <is>
          <t>PL_Annual</t>
        </is>
      </c>
      <c r="C10" s="2" t="inlineStr">
        <is>
          <t>Sintesi annuale da monthly</t>
        </is>
      </c>
    </row>
    <row r="11">
      <c r="B11" s="4" t="inlineStr">
        <is>
          <t>CashFlow</t>
        </is>
      </c>
      <c r="C11" s="2" t="inlineStr">
        <is>
          <t>Cash flow + scenari base/pessimistico/ottimistico</t>
        </is>
      </c>
    </row>
    <row r="12">
      <c r="B12" s="4" t="inlineStr">
        <is>
          <t>Team</t>
        </is>
      </c>
      <c r="C12" s="2" t="inlineStr">
        <is>
          <t>Team evolution + salary</t>
        </is>
      </c>
    </row>
    <row r="13">
      <c r="B13" s="4" t="inlineStr">
        <is>
          <t>Capex</t>
        </is>
      </c>
      <c r="C13" s="2" t="inlineStr">
        <is>
          <t>Capex + ammortamenti</t>
        </is>
      </c>
    </row>
    <row r="14">
      <c r="B14" s="4" t="inlineStr">
        <is>
          <t>KPIs</t>
        </is>
      </c>
      <c r="C14" s="2" t="inlineStr">
        <is>
          <t>Dashboard KPI operativi</t>
        </is>
      </c>
    </row>
    <row r="15">
      <c r="B15" s="4" t="inlineStr">
        <is>
          <t>Smart&amp;Start</t>
        </is>
      </c>
      <c r="C15" s="2" t="inlineStr">
        <is>
          <t>Application form precompilato</t>
        </is>
      </c>
    </row>
    <row r="18">
      <c r="B18" s="3" t="inlineStr">
        <is>
          <t>V3.0 — Key changes vs V2.0</t>
        </is>
      </c>
    </row>
    <row r="19">
      <c r="B19" s="2" t="inlineStr">
        <is>
          <t>• Customer numbers conservativi: Y1 1-2, Y2 3-5, Y3 8-12 (vs 3-5/10-15/25-30)</t>
        </is>
      </c>
    </row>
    <row r="20">
      <c r="B20" s="2" t="inlineStr">
        <is>
          <t>• ACV Y1 ridotto a €30-50k (vs €45k) — primi clienti pagano meno</t>
        </is>
      </c>
    </row>
    <row r="21">
      <c r="B21" s="2" t="inlineStr">
        <is>
          <t>• Team evolution realistica: founder solo per 6 mesi, poi advisor+part-time</t>
        </is>
      </c>
    </row>
    <row r="22">
      <c r="B22" s="2" t="inlineStr">
        <is>
          <t>• Funding Phase 1: €200-300k (vs €300-400k) — proporzionato al team</t>
        </is>
      </c>
    </row>
    <row r="23">
      <c r="B23" s="2" t="inlineStr">
        <is>
          <t>• Persona costs: founder stipendio €30k Y1 (no salary equity-only iniziale)</t>
        </is>
      </c>
    </row>
    <row r="24">
      <c r="B24" s="2" t="inlineStr">
        <is>
          <t>• Cloud costs ridotti: M0-M3 zero (self-hosted), poi scaling graduale</t>
        </is>
      </c>
    </row>
    <row r="25">
      <c r="B25" s="2" t="inlineStr">
        <is>
          <t>• Aggiunto foglio Team con salary espliciti per ruolo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5" customWidth="1" min="3" max="3"/>
    <col width="12" customWidth="1" min="4" max="4"/>
    <col width="25" customWidth="1" min="5" max="5"/>
    <col width="30" customWidth="1" min="6" max="6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Assumptions v3.0 — Conservative</t>
        </is>
      </c>
    </row>
    <row r="3">
      <c r="A3" s="2" t="inlineStr">
        <is>
          <t>Tutti i valori editabili sono in BLU. Modifica per scenari.</t>
        </is>
      </c>
    </row>
    <row r="5">
      <c r="A5" s="5" t="n"/>
      <c r="B5" s="5" t="inlineStr">
        <is>
          <t>#</t>
        </is>
      </c>
      <c r="C5" s="5" t="inlineStr">
        <is>
          <t>Parametro</t>
        </is>
      </c>
      <c r="D5" s="5" t="inlineStr">
        <is>
          <t>Valore</t>
        </is>
      </c>
      <c r="E5" s="5" t="inlineStr">
        <is>
          <t>Unit</t>
        </is>
      </c>
      <c r="F5" s="5" t="inlineStr">
        <is>
          <t>Trigger</t>
        </is>
      </c>
      <c r="G5" s="5" t="inlineStr">
        <is>
          <t>Note</t>
        </is>
      </c>
    </row>
    <row r="6">
      <c r="B6" s="2" t="inlineStr"/>
      <c r="C6" s="4" t="inlineStr">
        <is>
          <t>─── REVENUE ───</t>
        </is>
      </c>
      <c r="E6" s="2" t="inlineStr"/>
      <c r="F6" s="2" t="inlineStr"/>
      <c r="G6" s="2" t="inlineStr"/>
    </row>
    <row r="7">
      <c r="B7" s="2" t="inlineStr">
        <is>
          <t>R1</t>
        </is>
      </c>
      <c r="C7" s="4" t="inlineStr">
        <is>
          <t>Y1 — Clienti (1 design partner + 1 paid pilot)</t>
        </is>
      </c>
      <c r="D7" s="6" t="n">
        <v>2</v>
      </c>
      <c r="E7" s="2" t="inlineStr">
        <is>
          <t>clienti</t>
        </is>
      </c>
      <c r="F7" s="2" t="inlineStr">
        <is>
          <t>Gate 2</t>
        </is>
      </c>
      <c r="G7" s="2" t="inlineStr">
        <is>
          <t>Realistico per founder solo</t>
        </is>
      </c>
    </row>
    <row r="8">
      <c r="B8" s="2" t="inlineStr">
        <is>
          <t>R2</t>
        </is>
      </c>
      <c r="C8" s="4" t="inlineStr">
        <is>
          <t>Y2 — Clienti paganti (1 design + 4 paid)</t>
        </is>
      </c>
      <c r="D8" s="6" t="n">
        <v>5</v>
      </c>
      <c r="E8" s="2" t="inlineStr">
        <is>
          <t>clienti</t>
        </is>
      </c>
      <c r="F8" s="2" t="inlineStr">
        <is>
          <t>Gate 3-4</t>
        </is>
      </c>
      <c r="G8" s="2" t="inlineStr">
        <is>
          <t>Include 1 design partner rinnovato</t>
        </is>
      </c>
    </row>
    <row r="9">
      <c r="B9" s="2" t="inlineStr">
        <is>
          <t>R3</t>
        </is>
      </c>
      <c r="C9" s="4" t="inlineStr">
        <is>
          <t>Y3 — Clienti paganti (rinnovati + nuovi)</t>
        </is>
      </c>
      <c r="D9" s="6" t="n">
        <v>10</v>
      </c>
      <c r="E9" s="2" t="inlineStr">
        <is>
          <t>clienti</t>
        </is>
      </c>
      <c r="F9" s="2" t="inlineStr">
        <is>
          <t>Gate 5</t>
        </is>
      </c>
      <c r="G9" s="2" t="inlineStr">
        <is>
          <t>Mix design rinnovati + new acquisition</t>
        </is>
      </c>
    </row>
    <row r="10">
      <c r="B10" s="2" t="inlineStr">
        <is>
          <t>R4</t>
        </is>
      </c>
      <c r="C10" s="4" t="inlineStr">
        <is>
          <t>Y1 — ACV medio</t>
        </is>
      </c>
      <c r="D10" s="6" t="n">
        <v>40</v>
      </c>
      <c r="E10" s="2" t="inlineStr">
        <is>
          <t>k€</t>
        </is>
      </c>
      <c r="F10" s="2" t="inlineStr">
        <is>
          <t>Mix design+pilot</t>
        </is>
      </c>
      <c r="G10" s="2" t="inlineStr">
        <is>
          <t>Range 30-50k</t>
        </is>
      </c>
    </row>
    <row r="11">
      <c r="B11" s="2" t="inlineStr">
        <is>
          <t>R5</t>
        </is>
      </c>
      <c r="C11" s="4" t="inlineStr">
        <is>
          <t>Y2 — ACV medio</t>
        </is>
      </c>
      <c r="D11" s="6" t="n">
        <v>80</v>
      </c>
      <c r="E11" s="2" t="inlineStr">
        <is>
          <t>k€</t>
        </is>
      </c>
      <c r="F11" s="2" t="inlineStr">
        <is>
          <t>Upselling</t>
        </is>
      </c>
      <c r="G11" s="2" t="inlineStr">
        <is>
          <t>Range 60-90k</t>
        </is>
      </c>
    </row>
    <row r="12">
      <c r="B12" s="2" t="inlineStr">
        <is>
          <t>R6</t>
        </is>
      </c>
      <c r="C12" s="4" t="inlineStr">
        <is>
          <t>Y3 — ACV medio</t>
        </is>
      </c>
      <c r="D12" s="6" t="n">
        <v>115</v>
      </c>
      <c r="E12" s="2" t="inlineStr">
        <is>
          <t>k€</t>
        </is>
      </c>
      <c r="F12" s="2" t="inlineStr">
        <is>
          <t>Bundling</t>
        </is>
      </c>
      <c r="G12" s="2" t="inlineStr">
        <is>
          <t>Range 100-140k</t>
        </is>
      </c>
    </row>
    <row r="13">
      <c r="B13" s="2" t="inlineStr">
        <is>
          <t>R7</t>
        </is>
      </c>
      <c r="C13" s="4" t="inlineStr">
        <is>
          <t>Y1 % Subscription</t>
        </is>
      </c>
      <c r="D13" s="6" t="n">
        <v>30</v>
      </c>
      <c r="E13" s="2" t="inlineStr">
        <is>
          <t>%</t>
        </is>
      </c>
      <c r="F13" s="2" t="inlineStr">
        <is>
          <t>Design+PoC</t>
        </is>
      </c>
      <c r="G13" s="2" t="inlineStr">
        <is>
          <t>70% services</t>
        </is>
      </c>
    </row>
    <row r="14">
      <c r="B14" s="2" t="inlineStr">
        <is>
          <t>R8</t>
        </is>
      </c>
      <c r="C14" s="4" t="inlineStr">
        <is>
          <t>Y2 % Subscription</t>
        </is>
      </c>
      <c r="D14" s="6" t="n">
        <v>50</v>
      </c>
      <c r="E14" s="2" t="inlineStr">
        <is>
          <t>%</t>
        </is>
      </c>
      <c r="F14" s="2" t="inlineStr">
        <is>
          <t>Mix</t>
        </is>
      </c>
      <c r="G14" s="2" t="inlineStr">
        <is>
          <t>30% services, 20% managed</t>
        </is>
      </c>
    </row>
    <row r="15">
      <c r="B15" s="2" t="inlineStr">
        <is>
          <t>R9</t>
        </is>
      </c>
      <c r="C15" s="4" t="inlineStr">
        <is>
          <t>Y3 % Subscription</t>
        </is>
      </c>
      <c r="D15" s="6" t="n">
        <v>60</v>
      </c>
      <c r="E15" s="2" t="inlineStr">
        <is>
          <t>%</t>
        </is>
      </c>
      <c r="F15" s="2" t="inlineStr">
        <is>
          <t>Mix</t>
        </is>
      </c>
      <c r="G15" s="2" t="inlineStr">
        <is>
          <t>20% services, 20% managed+usage</t>
        </is>
      </c>
    </row>
    <row r="16">
      <c r="B16" s="2" t="inlineStr"/>
      <c r="C16" s="4" t="inlineStr">
        <is>
          <t>─── CLOUD ───</t>
        </is>
      </c>
      <c r="E16" s="2" t="inlineStr"/>
      <c r="F16" s="2" t="inlineStr"/>
      <c r="G16" s="2" t="inlineStr"/>
    </row>
    <row r="17">
      <c r="B17" s="2" t="inlineStr">
        <is>
          <t>C1</t>
        </is>
      </c>
      <c r="C17" s="4" t="inlineStr">
        <is>
          <t>Cloud / GPU M0-M3 (self-hosted only)</t>
        </is>
      </c>
      <c r="D17" s="6" t="n">
        <v>0</v>
      </c>
      <c r="E17" s="2" t="inlineStr">
        <is>
          <t>k€/mese</t>
        </is>
      </c>
      <c r="F17" s="2" t="inlineStr">
        <is>
          <t>PoC phase</t>
        </is>
      </c>
      <c r="G17" s="2" t="inlineStr">
        <is>
          <t>Ollama, Qdrant self-hosted, free tiers</t>
        </is>
      </c>
    </row>
    <row r="18">
      <c r="B18" s="2" t="inlineStr">
        <is>
          <t>C2</t>
        </is>
      </c>
      <c r="C18" s="4" t="inlineStr">
        <is>
          <t>Cloud / GPU Y2 medio</t>
        </is>
      </c>
      <c r="D18" s="6" t="n">
        <v>4</v>
      </c>
      <c r="E18" s="2" t="inlineStr">
        <is>
          <t>k€/mese</t>
        </is>
      </c>
      <c r="F18" s="2" t="inlineStr">
        <is>
          <t>Primi clienti</t>
        </is>
      </c>
      <c r="G18" s="2" t="inlineStr">
        <is>
          <t>Inference + serving</t>
        </is>
      </c>
    </row>
    <row r="19">
      <c r="B19" s="2" t="inlineStr">
        <is>
          <t>C3</t>
        </is>
      </c>
      <c r="C19" s="4" t="inlineStr">
        <is>
          <t>Cloud / GPU Y3 medio</t>
        </is>
      </c>
      <c r="D19" s="6" t="n">
        <v>9</v>
      </c>
      <c r="E19" s="2" t="inlineStr">
        <is>
          <t>k€/mese</t>
        </is>
      </c>
      <c r="F19" s="2" t="inlineStr">
        <is>
          <t>Più carichi</t>
        </is>
      </c>
      <c r="G19" s="2" t="inlineStr">
        <is>
          <t>Ottimizzato</t>
        </is>
      </c>
    </row>
    <row r="20">
      <c r="B20" s="2" t="inlineStr"/>
      <c r="C20" s="4" t="inlineStr">
        <is>
          <t>─── TEAM ───</t>
        </is>
      </c>
      <c r="E20" s="2" t="inlineStr"/>
      <c r="F20" s="2" t="inlineStr"/>
      <c r="G20" s="2" t="inlineStr"/>
    </row>
    <row r="21">
      <c r="B21" s="2" t="inlineStr">
        <is>
          <t>T1</t>
        </is>
      </c>
      <c r="C21" s="4" t="inlineStr">
        <is>
          <t>Founder stipendio M0-M3 (equity-only)</t>
        </is>
      </c>
      <c r="D21" s="6" t="n">
        <v>0</v>
      </c>
      <c r="E21" s="2" t="inlineStr">
        <is>
          <t>k€/anno</t>
        </is>
      </c>
      <c r="F21" s="2" t="inlineStr">
        <is>
          <t>Bootstrap</t>
        </is>
      </c>
      <c r="G21" s="2" t="inlineStr">
        <is>
          <t>Solo equity</t>
        </is>
      </c>
    </row>
    <row r="22">
      <c r="B22" s="2" t="inlineStr">
        <is>
          <t>T2</t>
        </is>
      </c>
      <c r="C22" s="4" t="inlineStr">
        <is>
          <t>Founder stipendio M3-M12 (stipendio minimo)</t>
        </is>
      </c>
      <c r="D22" s="6" t="n">
        <v>30</v>
      </c>
      <c r="E22" s="2" t="inlineStr">
        <is>
          <t>k€/anno</t>
        </is>
      </c>
      <c r="F22" s="2" t="inlineStr">
        <is>
          <t>Da M3</t>
        </is>
      </c>
      <c r="G22" s="2" t="inlineStr">
        <is>
          <t>€ 2.5k/mese lordi</t>
        </is>
      </c>
    </row>
    <row r="23">
      <c r="B23" s="2" t="inlineStr">
        <is>
          <t>T3</t>
        </is>
      </c>
      <c r="C23" s="4" t="inlineStr">
        <is>
          <t>Founder stipendio Y2 (full salary)</t>
        </is>
      </c>
      <c r="D23" s="6" t="n">
        <v>50</v>
      </c>
      <c r="E23" s="2" t="inlineStr">
        <is>
          <t>k€/anno</t>
        </is>
      </c>
      <c r="F23" s="2" t="inlineStr">
        <is>
          <t>Da M13</t>
        </is>
      </c>
      <c r="G23" s="2" t="inlineStr">
        <is>
          <t>€ 4.2k/mese</t>
        </is>
      </c>
    </row>
    <row r="24">
      <c r="B24" s="2" t="inlineStr">
        <is>
          <t>T4</t>
        </is>
      </c>
      <c r="C24" s="4" t="inlineStr">
        <is>
          <t>Founder stipendio Y3 (market rate)</t>
        </is>
      </c>
      <c r="D24" s="6" t="n">
        <v>70</v>
      </c>
      <c r="E24" s="2" t="inlineStr">
        <is>
          <t>k€/anno</t>
        </is>
      </c>
      <c r="F24" s="2" t="inlineStr">
        <is>
          <t>Da M25</t>
        </is>
      </c>
      <c r="G24" s="2" t="inlineStr">
        <is>
          <t>€ 5.8k/mese</t>
        </is>
      </c>
    </row>
    <row r="25">
      <c r="B25" s="2" t="inlineStr">
        <is>
          <t>T5</t>
        </is>
      </c>
      <c r="C25" s="4" t="inlineStr">
        <is>
          <t>Part-time AI engineer M6-M12 (collaboration)</t>
        </is>
      </c>
      <c r="D25" s="6" t="n">
        <v>18</v>
      </c>
      <c r="E25" s="2" t="inlineStr">
        <is>
          <t>k€/anno</t>
        </is>
      </c>
      <c r="F25" s="2" t="inlineStr">
        <is>
          <t>Da M6</t>
        </is>
      </c>
      <c r="G25" s="2" t="inlineStr">
        <is>
          <t>20-40% FTE</t>
        </is>
      </c>
    </row>
    <row r="26">
      <c r="B26" s="2" t="inlineStr">
        <is>
          <t>T6</t>
        </is>
      </c>
      <c r="C26" s="4" t="inlineStr">
        <is>
          <t>Co-founder commercial M9+ (full)</t>
        </is>
      </c>
      <c r="D26" s="6" t="n">
        <v>60</v>
      </c>
      <c r="E26" s="2" t="inlineStr">
        <is>
          <t>k€/anno</t>
        </is>
      </c>
      <c r="F26" s="2" t="inlineStr">
        <is>
          <t>Da M9</t>
        </is>
      </c>
      <c r="G26" s="2" t="inlineStr">
        <is>
          <t>+ equity 5-10%</t>
        </is>
      </c>
    </row>
    <row r="27">
      <c r="B27" s="2" t="inlineStr">
        <is>
          <t>T7</t>
        </is>
      </c>
      <c r="C27" s="4" t="inlineStr">
        <is>
          <t>Senior AI engineer Y2 (full)</t>
        </is>
      </c>
      <c r="D27" s="6" t="n">
        <v>55</v>
      </c>
      <c r="E27" s="2" t="inlineStr">
        <is>
          <t>k€/anno</t>
        </is>
      </c>
      <c r="F27" s="2" t="inlineStr">
        <is>
          <t>Da M13</t>
        </is>
      </c>
      <c r="G27" s="2" t="inlineStr">
        <is>
          <t>Market rate</t>
        </is>
      </c>
    </row>
    <row r="28">
      <c r="B28" s="2" t="inlineStr">
        <is>
          <t>T8</t>
        </is>
      </c>
      <c r="C28" s="4" t="inlineStr">
        <is>
          <t>Senior AI engineer Y3 (full)</t>
        </is>
      </c>
      <c r="D28" s="6" t="n">
        <v>60</v>
      </c>
      <c r="E28" s="2" t="inlineStr">
        <is>
          <t>k€/anno</t>
        </is>
      </c>
      <c r="F28" s="2" t="inlineStr">
        <is>
          <t>Da M25</t>
        </is>
      </c>
      <c r="G28" s="2" t="inlineStr">
        <is>
          <t>+1 hire</t>
        </is>
      </c>
    </row>
    <row r="29">
      <c r="B29" s="2" t="inlineStr">
        <is>
          <t>T9</t>
        </is>
      </c>
      <c r="C29" s="4" t="inlineStr">
        <is>
          <t>Customer success Y2 (part-time)</t>
        </is>
      </c>
      <c r="D29" s="6" t="n">
        <v>18</v>
      </c>
      <c r="E29" s="2" t="inlineStr">
        <is>
          <t>k€/anno</t>
        </is>
      </c>
      <c r="F29" s="2" t="inlineStr">
        <is>
          <t>Da M13</t>
        </is>
      </c>
      <c r="G29" s="2" t="inlineStr">
        <is>
          <t>50% FTE</t>
        </is>
      </c>
    </row>
    <row r="30">
      <c r="B30" s="2" t="inlineStr">
        <is>
          <t>T10</t>
        </is>
      </c>
      <c r="C30" s="4" t="inlineStr">
        <is>
          <t>Customer success Y3 (full)</t>
        </is>
      </c>
      <c r="D30" s="6" t="n">
        <v>45</v>
      </c>
      <c r="E30" s="2" t="inlineStr">
        <is>
          <t>k€/anno</t>
        </is>
      </c>
      <c r="F30" s="2" t="inlineStr">
        <is>
          <t>Da M25</t>
        </is>
      </c>
      <c r="G30" s="2" t="inlineStr">
        <is>
          <t>Full hire</t>
        </is>
      </c>
    </row>
    <row r="31">
      <c r="B31" s="2" t="inlineStr"/>
      <c r="C31" s="4" t="inlineStr">
        <is>
          <t>─── OPEX ───</t>
        </is>
      </c>
      <c r="E31" s="2" t="inlineStr"/>
      <c r="F31" s="2" t="inlineStr"/>
      <c r="G31" s="2" t="inlineStr"/>
    </row>
    <row r="32">
      <c r="B32" s="2" t="inlineStr">
        <is>
          <t>O1</t>
        </is>
      </c>
      <c r="C32" s="4" t="inlineStr">
        <is>
          <t>Opex M0-M3 (bootstrap)</t>
        </is>
      </c>
      <c r="D32" s="6" t="n">
        <v>1</v>
      </c>
      <c r="E32" s="2" t="inlineStr">
        <is>
          <t>k€/mese</t>
        </is>
      </c>
      <c r="F32" s="2" t="inlineStr">
        <is>
          <t>Lean phase</t>
        </is>
      </c>
      <c r="G32" s="2" t="inlineStr">
        <is>
          <t>Solo tool essenziali + dominio</t>
        </is>
      </c>
    </row>
    <row r="33">
      <c r="B33" s="2" t="inlineStr">
        <is>
          <t>O2</t>
        </is>
      </c>
      <c r="C33" s="4" t="inlineStr">
        <is>
          <t>Opex M4-M12</t>
        </is>
      </c>
      <c r="D33" s="6" t="n">
        <v>3</v>
      </c>
      <c r="E33" s="2" t="inlineStr">
        <is>
          <t>k€/mese</t>
        </is>
      </c>
      <c r="F33" s="2" t="inlineStr">
        <is>
          <t>Post-PoC</t>
        </is>
      </c>
      <c r="G33" s="2" t="inlineStr">
        <is>
          <t>Marketing base, legal, contabilità</t>
        </is>
      </c>
    </row>
    <row r="34">
      <c r="B34" s="2" t="inlineStr">
        <is>
          <t>O3</t>
        </is>
      </c>
      <c r="C34" s="4" t="inlineStr">
        <is>
          <t>Opex Y2 medio</t>
        </is>
      </c>
      <c r="D34" s="6" t="n">
        <v>6</v>
      </c>
      <c r="E34" s="2" t="inlineStr">
        <is>
          <t>k€/mese</t>
        </is>
      </c>
      <c r="F34" s="2" t="inlineStr">
        <is>
          <t>Scale-up</t>
        </is>
      </c>
      <c r="G34" s="2" t="inlineStr">
        <is>
          <t>Fiere, marketing, sales ops</t>
        </is>
      </c>
    </row>
    <row r="35">
      <c r="B35" s="2" t="inlineStr">
        <is>
          <t>O4</t>
        </is>
      </c>
      <c r="C35" s="4" t="inlineStr">
        <is>
          <t>Opex Y3 medio</t>
        </is>
      </c>
      <c r="D35" s="6" t="n">
        <v>10</v>
      </c>
      <c r="E35" s="2" t="inlineStr">
        <is>
          <t>k€/mese</t>
        </is>
      </c>
      <c r="F35" s="2" t="inlineStr">
        <is>
          <t>EU expansion</t>
        </is>
      </c>
      <c r="G35" s="2" t="inlineStr">
        <is>
          <t>Branding, content, fiere EU</t>
        </is>
      </c>
    </row>
    <row r="36">
      <c r="B36" s="2" t="inlineStr"/>
      <c r="C36" s="4" t="inlineStr">
        <is>
          <t>─── R&amp;D ───</t>
        </is>
      </c>
      <c r="E36" s="2" t="inlineStr"/>
      <c r="F36" s="2" t="inlineStr"/>
      <c r="G36" s="2" t="inlineStr"/>
    </row>
    <row r="37">
      <c r="B37" s="2" t="inlineStr">
        <is>
          <t>R1a</t>
        </is>
      </c>
      <c r="C37" s="4" t="inlineStr">
        <is>
          <t>R&amp;D M0-M6 (PoC + evaluation)</t>
        </is>
      </c>
      <c r="D37" s="6" t="n">
        <v>0</v>
      </c>
      <c r="E37" s="2" t="inlineStr">
        <is>
          <t>k€/mese</t>
        </is>
      </c>
      <c r="F37" s="2" t="inlineStr">
        <is>
          <t>Bootstrap</t>
        </is>
      </c>
      <c r="G37" s="2" t="inlineStr">
        <is>
          <t>Founder time = R&amp;D</t>
        </is>
      </c>
    </row>
    <row r="38">
      <c r="B38" s="2" t="inlineStr">
        <is>
          <t>R1b</t>
        </is>
      </c>
      <c r="C38" s="4" t="inlineStr">
        <is>
          <t>R&amp;D M6-M12</t>
        </is>
      </c>
      <c r="D38" s="6" t="n">
        <v>1</v>
      </c>
      <c r="E38" s="2" t="inlineStr">
        <is>
          <t>k€/mese</t>
        </is>
      </c>
      <c r="F38" s="2" t="inlineStr">
        <is>
          <t>Post-PoC</t>
        </is>
      </c>
      <c r="G38" s="2" t="inlineStr">
        <is>
          <t>Tool, dataset, eval</t>
        </is>
      </c>
    </row>
    <row r="39">
      <c r="B39" s="2" t="inlineStr">
        <is>
          <t>R1c</t>
        </is>
      </c>
      <c r="C39" s="4" t="inlineStr">
        <is>
          <t>R&amp;D Y2 medio</t>
        </is>
      </c>
      <c r="D39" s="6" t="n">
        <v>3</v>
      </c>
      <c r="E39" s="2" t="inlineStr">
        <is>
          <t>k€/mese</t>
        </is>
      </c>
      <c r="F39" s="2" t="inlineStr">
        <is>
          <t>Modelli custom</t>
        </is>
      </c>
      <c r="G39" s="2" t="inlineStr">
        <is>
          <t>Vertical AI, eval suite</t>
        </is>
      </c>
    </row>
    <row r="40">
      <c r="B40" s="2" t="inlineStr">
        <is>
          <t>R1d</t>
        </is>
      </c>
      <c r="C40" s="4" t="inlineStr">
        <is>
          <t>R&amp;D Y3 medio</t>
        </is>
      </c>
      <c r="D40" s="6" t="n">
        <v>5</v>
      </c>
      <c r="E40" s="2" t="inlineStr">
        <is>
          <t>k€/mese</t>
        </is>
      </c>
      <c r="F40" s="2" t="inlineStr">
        <is>
          <t>Federated, edge</t>
        </is>
      </c>
      <c r="G40" s="2" t="inlineStr">
        <is>
          <t>Roadmap items</t>
        </is>
      </c>
    </row>
    <row r="41">
      <c r="B41" s="2" t="inlineStr"/>
      <c r="C41" s="4" t="inlineStr">
        <is>
          <t>─── TAXES / INFLATION ───</t>
        </is>
      </c>
      <c r="E41" s="2" t="inlineStr"/>
      <c r="F41" s="2" t="inlineStr"/>
      <c r="G41" s="2" t="inlineStr"/>
    </row>
    <row r="42">
      <c r="B42" s="2" t="inlineStr">
        <is>
          <t>X1</t>
        </is>
      </c>
      <c r="C42" s="4" t="inlineStr">
        <is>
          <t>IRPEF/IRES (effective)</t>
        </is>
      </c>
      <c r="D42" s="6" t="n">
        <v>24</v>
      </c>
      <c r="E42" s="2" t="inlineStr">
        <is>
          <t>%</t>
        </is>
      </c>
      <c r="F42" s="2" t="inlineStr">
        <is>
          <t>Italia</t>
        </is>
      </c>
      <c r="G42" s="2" t="inlineStr">
        <is>
          <t>Standard</t>
        </is>
      </c>
    </row>
    <row r="43">
      <c r="B43" s="2" t="inlineStr">
        <is>
          <t>X2</t>
        </is>
      </c>
      <c r="C43" s="4" t="inlineStr">
        <is>
          <t>IRAP (Toscana)</t>
        </is>
      </c>
      <c r="D43" s="6" t="n">
        <v>4</v>
      </c>
      <c r="E43" s="2" t="inlineStr">
        <is>
          <t>%</t>
        </is>
      </c>
      <c r="F43" s="2" t="inlineStr">
        <is>
          <t>Toscana</t>
        </is>
      </c>
      <c r="G43" s="2" t="inlineStr">
        <is>
          <t>Standard</t>
        </is>
      </c>
    </row>
    <row r="44">
      <c r="B44" s="2" t="inlineStr">
        <is>
          <t>X3</t>
        </is>
      </c>
      <c r="C44" s="4" t="inlineStr">
        <is>
          <t>Inflazione costi</t>
        </is>
      </c>
      <c r="D44" s="6" t="n">
        <v>2.5</v>
      </c>
      <c r="E44" s="2" t="inlineStr">
        <is>
          <t>%</t>
        </is>
      </c>
      <c r="F44" s="2" t="inlineStr">
        <is>
          <t>Generale</t>
        </is>
      </c>
      <c r="G44" s="2" t="inlineStr">
        <is>
          <t>Su costi operativi</t>
        </is>
      </c>
    </row>
    <row r="45">
      <c r="B45" s="2" t="inlineStr"/>
      <c r="C45" s="4" t="inlineStr">
        <is>
          <t>─── FUNDING ───</t>
        </is>
      </c>
      <c r="E45" s="2" t="inlineStr"/>
      <c r="F45" s="2" t="inlineStr"/>
      <c r="G45" s="2" t="inlineStr"/>
    </row>
    <row r="46">
      <c r="B46" s="2" t="inlineStr">
        <is>
          <t>F1</t>
        </is>
      </c>
      <c r="C46" s="4" t="inlineStr">
        <is>
          <t>Smart&amp;Start — Phase 1 importo</t>
        </is>
      </c>
      <c r="D46" s="6" t="n">
        <v>200</v>
      </c>
      <c r="E46" s="2" t="inlineStr">
        <is>
          <t>k€</t>
        </is>
      </c>
      <c r="F46" s="2" t="inlineStr">
        <is>
          <t>Bando attivo</t>
        </is>
      </c>
      <c r="G46" s="2" t="inlineStr">
        <is>
          <t>Tasso zero, ammortizzato 8 anni</t>
        </is>
      </c>
    </row>
    <row r="47">
      <c r="B47" s="2" t="inlineStr">
        <is>
          <t>F2</t>
        </is>
      </c>
      <c r="C47" s="4" t="inlineStr">
        <is>
          <t>IKIGAI / acceleratori Phase 1</t>
        </is>
      </c>
      <c r="D47" s="6" t="n">
        <v>30</v>
      </c>
      <c r="E47" s="2" t="inlineStr">
        <is>
          <t>k€</t>
        </is>
      </c>
      <c r="F47" s="2" t="inlineStr">
        <is>
          <t>Accelerator</t>
        </is>
      </c>
      <c r="G47" s="2" t="inlineStr">
        <is>
          <t>Cash + mentoring</t>
        </is>
      </c>
    </row>
    <row r="48">
      <c r="B48" s="2" t="inlineStr">
        <is>
          <t>F3</t>
        </is>
      </c>
      <c r="C48" s="4" t="inlineStr">
        <is>
          <t>Round pre-seed (angel/strategic)</t>
        </is>
      </c>
      <c r="D48" s="6" t="n">
        <v>100</v>
      </c>
      <c r="E48" s="2" t="inlineStr">
        <is>
          <t>k€</t>
        </is>
      </c>
      <c r="F48" s="2" t="inlineStr">
        <is>
          <t>Post-Gate 2</t>
        </is>
      </c>
      <c r="G48" s="2" t="inlineStr">
        <is>
          <t>Equity ridotta</t>
        </is>
      </c>
    </row>
    <row r="49">
      <c r="B49" s="2" t="inlineStr">
        <is>
          <t>F4</t>
        </is>
      </c>
      <c r="C49" s="4" t="inlineStr">
        <is>
          <t>Round seed (Phase 2)</t>
        </is>
      </c>
      <c r="D49" s="6" t="n">
        <v>750</v>
      </c>
      <c r="E49" s="2" t="inlineStr">
        <is>
          <t>k€</t>
        </is>
      </c>
      <c r="F49" s="2" t="inlineStr">
        <is>
          <t>Post-Gate 3</t>
        </is>
      </c>
      <c r="G49" s="2" t="inlineStr">
        <is>
          <t>Solo dopo validazione</t>
        </is>
      </c>
    </row>
    <row r="50">
      <c r="B50" s="2" t="inlineStr"/>
      <c r="C50" s="4" t="inlineStr">
        <is>
          <t>─── CAPEX ───</t>
        </is>
      </c>
      <c r="E50" s="2" t="inlineStr"/>
      <c r="F50" s="2" t="inlineStr"/>
      <c r="G50" s="2" t="inlineStr"/>
    </row>
    <row r="51">
      <c r="B51" s="2" t="inlineStr">
        <is>
          <t>K1</t>
        </is>
      </c>
      <c r="C51" s="4" t="inlineStr">
        <is>
          <t>Ammortamento equipment (anni)</t>
        </is>
      </c>
      <c r="D51" s="6" t="n">
        <v>3</v>
      </c>
      <c r="E51" s="2" t="inlineStr">
        <is>
          <t>anni</t>
        </is>
      </c>
      <c r="F51" s="2" t="inlineStr">
        <is>
          <t>Fiscale</t>
        </is>
      </c>
      <c r="G51" s="2" t="inlineStr">
        <is>
          <t>Standard</t>
        </is>
      </c>
    </row>
    <row r="52">
      <c r="B52" s="2" t="inlineStr">
        <is>
          <t>K2</t>
        </is>
      </c>
      <c r="C52" s="4" t="inlineStr">
        <is>
          <t>Capex M0 (setup laptop, GPU used)</t>
        </is>
      </c>
      <c r="D52" s="6" t="n">
        <v>3</v>
      </c>
      <c r="E52" s="2" t="inlineStr">
        <is>
          <t>k€</t>
        </is>
      </c>
      <c r="F52" s="2" t="inlineStr">
        <is>
          <t>Bootstrap</t>
        </is>
      </c>
      <c r="G52" s="2" t="inlineStr">
        <is>
          <t>Fondi propri</t>
        </is>
      </c>
    </row>
    <row r="53">
      <c r="B53" s="2" t="inlineStr">
        <is>
          <t>K3</t>
        </is>
      </c>
      <c r="C53" s="4" t="inlineStr">
        <is>
          <t>Capex M6 (Jetson per PoC)</t>
        </is>
      </c>
      <c r="D53" s="6" t="n">
        <v>0.5</v>
      </c>
      <c r="E53" s="2" t="inlineStr">
        <is>
          <t>k€</t>
        </is>
      </c>
      <c r="F53" s="2" t="inlineStr">
        <is>
          <t>Edge demo</t>
        </is>
      </c>
      <c r="G53" s="2" t="inlineStr">
        <is>
          <t>Opzionale</t>
        </is>
      </c>
    </row>
    <row r="54">
      <c r="B54" s="2" t="inlineStr">
        <is>
          <t>K4</t>
        </is>
      </c>
      <c r="C54" s="4" t="inlineStr">
        <is>
          <t>Capex Y2 (refresh)</t>
        </is>
      </c>
      <c r="D54" s="6" t="n">
        <v>3</v>
      </c>
      <c r="E54" s="2" t="inlineStr">
        <is>
          <t>k€</t>
        </is>
      </c>
      <c r="F54" s="2" t="inlineStr">
        <is>
          <t>Scale</t>
        </is>
      </c>
      <c r="G54" s="2" t="inlineStr">
        <is>
          <t>Hardware refresh</t>
        </is>
      </c>
    </row>
    <row r="55">
      <c r="B55" s="2" t="inlineStr">
        <is>
          <t>K5</t>
        </is>
      </c>
      <c r="C55" s="4" t="inlineStr">
        <is>
          <t>Capex Y3 (refresh + edge devices)</t>
        </is>
      </c>
      <c r="D55" s="6" t="n">
        <v>5</v>
      </c>
      <c r="E55" s="2" t="inlineStr">
        <is>
          <t>k€</t>
        </is>
      </c>
      <c r="F55" s="2" t="inlineStr">
        <is>
          <t>Scale</t>
        </is>
      </c>
      <c r="G55" s="2" t="inlineStr">
        <is>
          <t>Più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Revenue Build v3.0 — Conservative</t>
        </is>
      </c>
    </row>
    <row r="3">
      <c r="A3" s="2" t="inlineStr">
        <is>
          <t>Bottom-up: 2 clienti Y1 → 5 Y2 → 10 Y3</t>
        </is>
      </c>
    </row>
    <row r="5">
      <c r="A5" s="5" t="n"/>
      <c r="B5" s="5" t="inlineStr"/>
      <c r="C5" s="5" t="inlineStr">
        <is>
          <t>Voce</t>
        </is>
      </c>
      <c r="D5" s="5" t="inlineStr">
        <is>
          <t>Y1</t>
        </is>
      </c>
      <c r="E5" s="5" t="inlineStr">
        <is>
          <t>Y2</t>
        </is>
      </c>
      <c r="F5" s="5" t="inlineStr">
        <is>
          <t>Y3</t>
        </is>
      </c>
      <c r="G5" s="5" t="inlineStr">
        <is>
          <t>Unit</t>
        </is>
      </c>
      <c r="H5" s="5" t="inlineStr">
        <is>
          <t>Note</t>
        </is>
      </c>
    </row>
    <row r="6">
      <c r="B6" s="7" t="inlineStr">
        <is>
          <t>Numero clienti paganti</t>
        </is>
      </c>
      <c r="D6" s="8">
        <f>Assumptions!D7</f>
        <v/>
      </c>
      <c r="E6" s="8">
        <f>Assumptions!D8</f>
        <v/>
      </c>
      <c r="F6" s="8">
        <f>Assumptions!D9</f>
        <v/>
      </c>
      <c r="G6" s="2" t="inlineStr">
        <is>
          <t>R1-R3</t>
        </is>
      </c>
    </row>
    <row r="7">
      <c r="B7" s="4" t="inlineStr">
        <is>
          <t>ACV medio</t>
        </is>
      </c>
      <c r="D7" s="8">
        <f>Assumptions!D10</f>
        <v/>
      </c>
      <c r="E7" s="8">
        <f>Assumptions!D11</f>
        <v/>
      </c>
      <c r="F7" s="8">
        <f>Assumptions!D12</f>
        <v/>
      </c>
      <c r="G7" s="2" t="inlineStr">
        <is>
          <t>R4-R6</t>
        </is>
      </c>
    </row>
    <row r="8">
      <c r="B8" s="7" t="inlineStr">
        <is>
          <t>Ricavi totali (k€)</t>
        </is>
      </c>
      <c r="D8" s="9">
        <f>D6*D7</f>
        <v/>
      </c>
      <c r="E8" s="9">
        <f>E6*E7</f>
        <v/>
      </c>
      <c r="F8" s="9">
        <f>F6*F7</f>
        <v/>
      </c>
      <c r="G8" s="2" t="inlineStr">
        <is>
          <t>N × ACV</t>
        </is>
      </c>
    </row>
    <row r="9">
      <c r="B9" s="4" t="inlineStr">
        <is>
          <t xml:space="preserve">  di cui Subscription</t>
        </is>
      </c>
      <c r="D9" s="4">
        <f>D8*Assumptions!D13</f>
        <v/>
      </c>
      <c r="E9" s="4">
        <f>E8*Assumptions!D14</f>
        <v/>
      </c>
      <c r="F9" s="4">
        <f>F8*Assumptions!D15</f>
        <v/>
      </c>
      <c r="G9" s="2" t="inlineStr">
        <is>
          <t>R7-R9</t>
        </is>
      </c>
    </row>
    <row r="10">
      <c r="B10" s="4" t="inlineStr">
        <is>
          <t xml:space="preserve">  di cui Servizi</t>
        </is>
      </c>
      <c r="D10" s="9">
        <f>D8-D9</f>
        <v/>
      </c>
      <c r="E10" s="9">
        <f>E8-E9</f>
        <v/>
      </c>
      <c r="F10" s="9">
        <f>F8-F9</f>
        <v/>
      </c>
      <c r="G10" s="2" t="inlineStr">
        <is>
          <t>Residuo</t>
        </is>
      </c>
    </row>
    <row r="11">
      <c r="B11" s="4" t="inlineStr"/>
      <c r="D11" s="2" t="inlineStr"/>
      <c r="E11" s="2" t="inlineStr"/>
      <c r="F11" s="2" t="inlineStr"/>
      <c r="G11" s="2" t="inlineStr"/>
    </row>
    <row r="12">
      <c r="B12" s="4" t="inlineStr">
        <is>
          <t>Memoria: revenue range</t>
        </is>
      </c>
      <c r="D12" s="2" t="inlineStr">
        <is>
          <t>€ 80k</t>
        </is>
      </c>
      <c r="E12" s="2" t="inlineStr">
        <is>
          <t>€ 400k</t>
        </is>
      </c>
      <c r="F12" s="2" t="inlineStr">
        <is>
          <t>€ 1.150k</t>
        </is>
      </c>
      <c r="G12" s="2" t="inlineStr">
        <is>
          <t>Punto medio</t>
        </is>
      </c>
    </row>
    <row r="13">
      <c r="B13" s="4" t="inlineStr">
        <is>
          <t>Range conservative Y1/Y2/Y3</t>
        </is>
      </c>
      <c r="D13" s="2" t="inlineStr">
        <is>
          <t>€ 50-100k</t>
        </is>
      </c>
      <c r="E13" s="2" t="inlineStr">
        <is>
          <t>€ 300-500k</t>
        </is>
      </c>
      <c r="F13" s="2" t="inlineStr">
        <is>
          <t>€ 800k-1.5M</t>
        </is>
      </c>
      <c r="G13" s="2" t="inlineStr">
        <is>
          <t>Range 80% confidenza</t>
        </is>
      </c>
    </row>
    <row r="16">
      <c r="B16" s="2" t="inlineStr">
        <is>
          <t>Nota: Y1 con founder solo = realisticamente 1-2 clienti, NON 3-5 come in v2.0.</t>
        </is>
      </c>
    </row>
    <row r="17">
      <c r="B17" s="2" t="inlineStr">
        <is>
          <t>Anche con ACV conservativo €40k, si tratta di € 80k totali, gestibile da solo.</t>
        </is>
      </c>
    </row>
    <row r="18">
      <c r="B18" s="2" t="inlineStr">
        <is>
          <t>La crescita a Y2 (5 clienti) richiede già un co-founder commerciale per essere raggiungibile.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Conto Economico Mensile v3.0 — 36 mesi</t>
        </is>
      </c>
    </row>
    <row r="3">
      <c r="A3" s="2" t="inlineStr">
        <is>
          <t>Founder solo M0-M6, poi team evolution graduale</t>
        </is>
      </c>
    </row>
    <row r="5">
      <c r="B5" s="10" t="inlineStr">
        <is>
          <t>Voce (k€)</t>
        </is>
      </c>
      <c r="C5" s="11" t="inlineStr">
        <is>
          <t>M1</t>
        </is>
      </c>
      <c r="D5" s="11" t="inlineStr">
        <is>
          <t>M2</t>
        </is>
      </c>
      <c r="E5" s="11" t="inlineStr">
        <is>
          <t>M3</t>
        </is>
      </c>
      <c r="F5" s="11" t="inlineStr">
        <is>
          <t>M4</t>
        </is>
      </c>
      <c r="G5" s="11" t="inlineStr">
        <is>
          <t>M5</t>
        </is>
      </c>
      <c r="H5" s="11" t="inlineStr">
        <is>
          <t>M6</t>
        </is>
      </c>
      <c r="I5" s="11" t="inlineStr">
        <is>
          <t>M7</t>
        </is>
      </c>
      <c r="J5" s="11" t="inlineStr">
        <is>
          <t>M8</t>
        </is>
      </c>
      <c r="K5" s="11" t="inlineStr">
        <is>
          <t>M9</t>
        </is>
      </c>
      <c r="L5" s="11" t="inlineStr">
        <is>
          <t>M10</t>
        </is>
      </c>
      <c r="M5" s="11" t="inlineStr">
        <is>
          <t>M11</t>
        </is>
      </c>
      <c r="N5" s="11" t="inlineStr">
        <is>
          <t>M12</t>
        </is>
      </c>
      <c r="O5" s="11" t="inlineStr">
        <is>
          <t>M13</t>
        </is>
      </c>
      <c r="P5" s="11" t="inlineStr">
        <is>
          <t>M14</t>
        </is>
      </c>
      <c r="Q5" s="11" t="inlineStr">
        <is>
          <t>M15</t>
        </is>
      </c>
      <c r="R5" s="11" t="inlineStr">
        <is>
          <t>M16</t>
        </is>
      </c>
      <c r="S5" s="11" t="inlineStr">
        <is>
          <t>M17</t>
        </is>
      </c>
      <c r="T5" s="11" t="inlineStr">
        <is>
          <t>M18</t>
        </is>
      </c>
      <c r="U5" s="11" t="inlineStr">
        <is>
          <t>M19</t>
        </is>
      </c>
      <c r="V5" s="11" t="inlineStr">
        <is>
          <t>M20</t>
        </is>
      </c>
      <c r="W5" s="11" t="inlineStr">
        <is>
          <t>M21</t>
        </is>
      </c>
      <c r="X5" s="11" t="inlineStr">
        <is>
          <t>M22</t>
        </is>
      </c>
      <c r="Y5" s="11" t="inlineStr">
        <is>
          <t>M23</t>
        </is>
      </c>
      <c r="Z5" s="11" t="inlineStr">
        <is>
          <t>M24</t>
        </is>
      </c>
      <c r="AA5" s="11" t="inlineStr">
        <is>
          <t>M25</t>
        </is>
      </c>
      <c r="AB5" s="11" t="inlineStr">
        <is>
          <t>M26</t>
        </is>
      </c>
      <c r="AC5" s="11" t="inlineStr">
        <is>
          <t>M27</t>
        </is>
      </c>
      <c r="AD5" s="11" t="inlineStr">
        <is>
          <t>M28</t>
        </is>
      </c>
      <c r="AE5" s="11" t="inlineStr">
        <is>
          <t>M29</t>
        </is>
      </c>
      <c r="AF5" s="11" t="inlineStr">
        <is>
          <t>M30</t>
        </is>
      </c>
      <c r="AG5" s="11" t="inlineStr">
        <is>
          <t>M31</t>
        </is>
      </c>
      <c r="AH5" s="11" t="inlineStr">
        <is>
          <t>M32</t>
        </is>
      </c>
      <c r="AI5" s="11" t="inlineStr">
        <is>
          <t>M33</t>
        </is>
      </c>
      <c r="AJ5" s="11" t="inlineStr">
        <is>
          <t>M34</t>
        </is>
      </c>
      <c r="AK5" s="11" t="inlineStr">
        <is>
          <t>M35</t>
        </is>
      </c>
      <c r="AL5" s="11" t="inlineStr">
        <is>
          <t>M36</t>
        </is>
      </c>
      <c r="AM5" s="12" t="inlineStr">
        <is>
          <t>TOTAL Y1</t>
        </is>
      </c>
      <c r="AN5" s="12" t="inlineStr">
        <is>
          <t>TOTAL Y2</t>
        </is>
      </c>
      <c r="AO5" s="12" t="inlineStr">
        <is>
          <t>TOTAL Y3</t>
        </is>
      </c>
    </row>
    <row r="6">
      <c r="B6" s="13" t="inlineStr">
        <is>
          <t>Ricavi totali</t>
        </is>
      </c>
      <c r="C6" s="9">
        <f>Revenue!$D$8*0.0833</f>
        <v/>
      </c>
      <c r="D6" s="9">
        <f>Revenue!$D$8*0.1667</f>
        <v/>
      </c>
      <c r="E6" s="9">
        <f>Revenue!$D$8*0.2500</f>
        <v/>
      </c>
      <c r="F6" s="9">
        <f>Revenue!$D$8*0.3333</f>
        <v/>
      </c>
      <c r="G6" s="9">
        <f>Revenue!$D$8*0.4167</f>
        <v/>
      </c>
      <c r="H6" s="9">
        <f>Revenue!$D$8*0.5000</f>
        <v/>
      </c>
      <c r="I6" s="9">
        <f>Revenue!$D$8*0.5833</f>
        <v/>
      </c>
      <c r="J6" s="9">
        <f>Revenue!$D$8*0.6667</f>
        <v/>
      </c>
      <c r="K6" s="9">
        <f>Revenue!$D$8*0.7500</f>
        <v/>
      </c>
      <c r="L6" s="9">
        <f>Revenue!$D$8*0.8333</f>
        <v/>
      </c>
      <c r="M6" s="9">
        <f>Revenue!$D$8*0.9167</f>
        <v/>
      </c>
      <c r="N6" s="9">
        <f>Revenue!$D$8*1.0000</f>
        <v/>
      </c>
      <c r="O6" s="9">
        <f>Revenue!$E$8*0.0840</f>
        <v/>
      </c>
      <c r="P6" s="9">
        <f>Revenue!$E$8*0.0847</f>
        <v/>
      </c>
      <c r="Q6" s="9">
        <f>Revenue!$E$8*0.0854</f>
        <v/>
      </c>
      <c r="R6" s="9">
        <f>Revenue!$E$8*0.0861</f>
        <v/>
      </c>
      <c r="S6" s="9">
        <f>Revenue!$E$8*0.0868</f>
        <v/>
      </c>
      <c r="T6" s="9">
        <f>Revenue!$E$8*0.0875</f>
        <v/>
      </c>
      <c r="U6" s="9">
        <f>Revenue!$E$8*0.0882</f>
        <v/>
      </c>
      <c r="V6" s="9">
        <f>Revenue!$E$8*0.0889</f>
        <v/>
      </c>
      <c r="W6" s="9">
        <f>Revenue!$E$8*0.0896</f>
        <v/>
      </c>
      <c r="X6" s="9">
        <f>Revenue!$E$8*0.0903</f>
        <v/>
      </c>
      <c r="Y6" s="9">
        <f>Revenue!$E$8*0.0910</f>
        <v/>
      </c>
      <c r="Z6" s="9">
        <f>Revenue!$E$8*0.0917</f>
        <v/>
      </c>
      <c r="AA6" s="9">
        <f>Revenue!$F$8*0.0931</f>
        <v/>
      </c>
      <c r="AB6" s="9">
        <f>Revenue!$F$8*0.0944</f>
        <v/>
      </c>
      <c r="AC6" s="9">
        <f>Revenue!$F$8*0.0958</f>
        <v/>
      </c>
      <c r="AD6" s="9">
        <f>Revenue!$F$8*0.0972</f>
        <v/>
      </c>
      <c r="AE6" s="9">
        <f>Revenue!$F$8*0.0986</f>
        <v/>
      </c>
      <c r="AF6" s="9">
        <f>Revenue!$F$8*0.1000</f>
        <v/>
      </c>
      <c r="AG6" s="9">
        <f>Revenue!$F$8*0.1014</f>
        <v/>
      </c>
      <c r="AH6" s="9">
        <f>Revenue!$F$8*0.1028</f>
        <v/>
      </c>
      <c r="AI6" s="9">
        <f>Revenue!$F$8*0.1042</f>
        <v/>
      </c>
      <c r="AJ6" s="9">
        <f>Revenue!$F$8*0.1056</f>
        <v/>
      </c>
      <c r="AK6" s="9">
        <f>Revenue!$F$8*0.1069</f>
        <v/>
      </c>
      <c r="AL6" s="9">
        <f>Revenue!$F$8*0.1083</f>
        <v/>
      </c>
      <c r="AM6" s="14">
        <f>SUM(C6:N6)</f>
        <v/>
      </c>
      <c r="AN6" s="14">
        <f>SUM(O6:Z6)</f>
        <v/>
      </c>
      <c r="AO6" s="14">
        <f>SUM(AA6:AL6)</f>
        <v/>
      </c>
    </row>
    <row r="7">
      <c r="B7" s="4" t="inlineStr">
        <is>
          <t>COGS (cloud + GPU)</t>
        </is>
      </c>
      <c r="C7" s="9" t="n">
        <v>0</v>
      </c>
      <c r="D7" s="9" t="n">
        <v>0</v>
      </c>
      <c r="E7" s="9" t="n">
        <v>0</v>
      </c>
      <c r="F7" s="9">
        <f>(1/9.0) * 1</f>
        <v/>
      </c>
      <c r="G7" s="9">
        <f>(2/9.0) * 1</f>
        <v/>
      </c>
      <c r="H7" s="9">
        <f>(3/9.0) * 1</f>
        <v/>
      </c>
      <c r="I7" s="9">
        <f>(4/9.0) * 1</f>
        <v/>
      </c>
      <c r="J7" s="9">
        <f>(5/9.0) * 1</f>
        <v/>
      </c>
      <c r="K7" s="9">
        <f>(6/9.0) * 1</f>
        <v/>
      </c>
      <c r="L7" s="9">
        <f>(7/9.0) * 1</f>
        <v/>
      </c>
      <c r="M7" s="9">
        <f>(8/9.0) * 1</f>
        <v/>
      </c>
      <c r="N7" s="9">
        <f>(9/9.0) * 1</f>
        <v/>
      </c>
      <c r="O7" s="9" t="n">
        <v>4</v>
      </c>
      <c r="P7" s="9" t="n">
        <v>4</v>
      </c>
      <c r="Q7" s="9" t="n">
        <v>4</v>
      </c>
      <c r="R7" s="9" t="n">
        <v>4</v>
      </c>
      <c r="S7" s="9" t="n">
        <v>4</v>
      </c>
      <c r="T7" s="9" t="n">
        <v>4</v>
      </c>
      <c r="U7" s="9" t="n">
        <v>4</v>
      </c>
      <c r="V7" s="9" t="n">
        <v>4</v>
      </c>
      <c r="W7" s="9" t="n">
        <v>4</v>
      </c>
      <c r="X7" s="9" t="n">
        <v>4</v>
      </c>
      <c r="Y7" s="9" t="n">
        <v>4</v>
      </c>
      <c r="Z7" s="9" t="n">
        <v>4</v>
      </c>
      <c r="AA7" s="9" t="n">
        <v>9</v>
      </c>
      <c r="AB7" s="9" t="n">
        <v>9</v>
      </c>
      <c r="AC7" s="9" t="n">
        <v>9</v>
      </c>
      <c r="AD7" s="9" t="n">
        <v>9</v>
      </c>
      <c r="AE7" s="9" t="n">
        <v>9</v>
      </c>
      <c r="AF7" s="9" t="n">
        <v>9</v>
      </c>
      <c r="AG7" s="9" t="n">
        <v>9</v>
      </c>
      <c r="AH7" s="9" t="n">
        <v>9</v>
      </c>
      <c r="AI7" s="9" t="n">
        <v>9</v>
      </c>
      <c r="AJ7" s="9" t="n">
        <v>9</v>
      </c>
      <c r="AK7" s="9" t="n">
        <v>9</v>
      </c>
      <c r="AL7" s="9" t="n">
        <v>9</v>
      </c>
      <c r="AM7" s="15">
        <f>SUM(C7:N7)</f>
        <v/>
      </c>
      <c r="AN7" s="15">
        <f>SUM(O7:Z7)</f>
        <v/>
      </c>
      <c r="AO7" s="15">
        <f>SUM(AA7:AL7)</f>
        <v/>
      </c>
    </row>
    <row r="8">
      <c r="B8" s="7" t="inlineStr">
        <is>
          <t>Margine Lordo</t>
        </is>
      </c>
      <c r="C8" s="15">
        <f>C6-C7</f>
        <v/>
      </c>
      <c r="D8" s="15">
        <f>D6-D7</f>
        <v/>
      </c>
      <c r="E8" s="15">
        <f>E6-E7</f>
        <v/>
      </c>
      <c r="F8" s="15">
        <f>F6-F7</f>
        <v/>
      </c>
      <c r="G8" s="15">
        <f>G6-G7</f>
        <v/>
      </c>
      <c r="H8" s="15">
        <f>H6-H7</f>
        <v/>
      </c>
      <c r="I8" s="15">
        <f>I6-I7</f>
        <v/>
      </c>
      <c r="J8" s="15">
        <f>J6-J7</f>
        <v/>
      </c>
      <c r="K8" s="15">
        <f>K6-K7</f>
        <v/>
      </c>
      <c r="L8" s="15">
        <f>L6-L7</f>
        <v/>
      </c>
      <c r="M8" s="15">
        <f>M6-M7</f>
        <v/>
      </c>
      <c r="N8" s="15">
        <f>N6-N7</f>
        <v/>
      </c>
      <c r="O8" s="15">
        <f>O6-O7</f>
        <v/>
      </c>
      <c r="P8" s="15">
        <f>P6-P7</f>
        <v/>
      </c>
      <c r="Q8" s="15">
        <f>Q6-Q7</f>
        <v/>
      </c>
      <c r="R8" s="15">
        <f>R6-R7</f>
        <v/>
      </c>
      <c r="S8" s="15">
        <f>S6-S7</f>
        <v/>
      </c>
      <c r="T8" s="15">
        <f>T6-T7</f>
        <v/>
      </c>
      <c r="U8" s="15">
        <f>U6-U7</f>
        <v/>
      </c>
      <c r="V8" s="15">
        <f>V6-V7</f>
        <v/>
      </c>
      <c r="W8" s="15">
        <f>W6-W7</f>
        <v/>
      </c>
      <c r="X8" s="15">
        <f>X6-X7</f>
        <v/>
      </c>
      <c r="Y8" s="15">
        <f>Y6-Y7</f>
        <v/>
      </c>
      <c r="Z8" s="15">
        <f>Z6-Z7</f>
        <v/>
      </c>
      <c r="AA8" s="15">
        <f>AA6-AA7</f>
        <v/>
      </c>
      <c r="AB8" s="15">
        <f>AB6-AB7</f>
        <v/>
      </c>
      <c r="AC8" s="15">
        <f>AC6-AC7</f>
        <v/>
      </c>
      <c r="AD8" s="15">
        <f>AD6-AD7</f>
        <v/>
      </c>
      <c r="AE8" s="15">
        <f>AE6-AE7</f>
        <v/>
      </c>
      <c r="AF8" s="15">
        <f>AF6-AF7</f>
        <v/>
      </c>
      <c r="AG8" s="15">
        <f>AG6-AG7</f>
        <v/>
      </c>
      <c r="AH8" s="15">
        <f>AH6-AH7</f>
        <v/>
      </c>
      <c r="AI8" s="15">
        <f>AI6-AI7</f>
        <v/>
      </c>
      <c r="AJ8" s="15">
        <f>AJ6-AJ7</f>
        <v/>
      </c>
      <c r="AK8" s="15">
        <f>AK6-AK7</f>
        <v/>
      </c>
      <c r="AL8" s="15">
        <f>AL6-AL7</f>
        <v/>
      </c>
      <c r="AM8" s="16">
        <f>SUM(C8:N8)</f>
        <v/>
      </c>
      <c r="AN8" s="16">
        <f>SUM(O8:Z8)</f>
        <v/>
      </c>
      <c r="AO8" s="16">
        <f>SUM(AA8:AL8)</f>
        <v/>
      </c>
    </row>
    <row r="9">
      <c r="B9" s="4" t="inlineStr">
        <is>
          <t>Costi personale</t>
        </is>
      </c>
      <c r="C9" s="9" t="n">
        <v>0</v>
      </c>
      <c r="D9" s="9" t="n">
        <v>0</v>
      </c>
      <c r="E9" s="9" t="n">
        <v>0</v>
      </c>
      <c r="F9" s="9" t="n">
        <v>2.5</v>
      </c>
      <c r="G9" s="9" t="n">
        <v>2.5</v>
      </c>
      <c r="H9" s="9" t="n">
        <v>2.5</v>
      </c>
      <c r="I9" s="9" t="n">
        <v>4</v>
      </c>
      <c r="J9" s="9" t="n">
        <v>4</v>
      </c>
      <c r="K9" s="9" t="n">
        <v>4</v>
      </c>
      <c r="L9" s="9" t="n">
        <v>4</v>
      </c>
      <c r="M9" s="9" t="n">
        <v>4</v>
      </c>
      <c r="N9" s="9" t="n">
        <v>4</v>
      </c>
      <c r="O9" s="9" t="n">
        <v>15.3</v>
      </c>
      <c r="P9" s="9" t="n">
        <v>15.3</v>
      </c>
      <c r="Q9" s="9" t="n">
        <v>15.3</v>
      </c>
      <c r="R9" s="9" t="n">
        <v>15.3</v>
      </c>
      <c r="S9" s="9" t="n">
        <v>15.3</v>
      </c>
      <c r="T9" s="9" t="n">
        <v>15.3</v>
      </c>
      <c r="U9" s="9" t="n">
        <v>15.3</v>
      </c>
      <c r="V9" s="9" t="n">
        <v>15.3</v>
      </c>
      <c r="W9" s="9" t="n">
        <v>15.3</v>
      </c>
      <c r="X9" s="9" t="n">
        <v>15.3</v>
      </c>
      <c r="Y9" s="9" t="n">
        <v>15.3</v>
      </c>
      <c r="Z9" s="9" t="n">
        <v>15.3</v>
      </c>
      <c r="AA9" s="9" t="n">
        <v>19.6</v>
      </c>
      <c r="AB9" s="9" t="n">
        <v>19.6</v>
      </c>
      <c r="AC9" s="9" t="n">
        <v>19.6</v>
      </c>
      <c r="AD9" s="9" t="n">
        <v>19.6</v>
      </c>
      <c r="AE9" s="9" t="n">
        <v>19.6</v>
      </c>
      <c r="AF9" s="9" t="n">
        <v>19.6</v>
      </c>
      <c r="AG9" s="9" t="n">
        <v>19.6</v>
      </c>
      <c r="AH9" s="9" t="n">
        <v>19.6</v>
      </c>
      <c r="AI9" s="9" t="n">
        <v>19.6</v>
      </c>
      <c r="AJ9" s="9" t="n">
        <v>19.6</v>
      </c>
      <c r="AK9" s="9" t="n">
        <v>19.6</v>
      </c>
      <c r="AL9" s="9" t="n">
        <v>19.6</v>
      </c>
      <c r="AM9" s="15">
        <f>SUM(C9:N9)</f>
        <v/>
      </c>
      <c r="AN9" s="15">
        <f>SUM(O9:Z9)</f>
        <v/>
      </c>
      <c r="AO9" s="15">
        <f>SUM(AA9:AL9)</f>
        <v/>
      </c>
    </row>
    <row r="10">
      <c r="B10" s="4" t="inlineStr">
        <is>
          <t>Costi operativi</t>
        </is>
      </c>
      <c r="C10" s="9" t="n">
        <v>1</v>
      </c>
      <c r="D10" s="9" t="n">
        <v>1</v>
      </c>
      <c r="E10" s="9" t="n">
        <v>1</v>
      </c>
      <c r="F10" s="9" t="n">
        <v>3</v>
      </c>
      <c r="G10" s="9" t="n">
        <v>3</v>
      </c>
      <c r="H10" s="9" t="n">
        <v>3</v>
      </c>
      <c r="I10" s="9" t="n">
        <v>3</v>
      </c>
      <c r="J10" s="9" t="n">
        <v>3</v>
      </c>
      <c r="K10" s="9" t="n">
        <v>3</v>
      </c>
      <c r="L10" s="9" t="n">
        <v>3</v>
      </c>
      <c r="M10" s="9" t="n">
        <v>3</v>
      </c>
      <c r="N10" s="9" t="n">
        <v>3</v>
      </c>
      <c r="O10" s="9" t="n">
        <v>6</v>
      </c>
      <c r="P10" s="9" t="n">
        <v>6</v>
      </c>
      <c r="Q10" s="9" t="n">
        <v>6</v>
      </c>
      <c r="R10" s="9" t="n">
        <v>6</v>
      </c>
      <c r="S10" s="9" t="n">
        <v>6</v>
      </c>
      <c r="T10" s="9" t="n">
        <v>6</v>
      </c>
      <c r="U10" s="9" t="n">
        <v>6</v>
      </c>
      <c r="V10" s="9" t="n">
        <v>6</v>
      </c>
      <c r="W10" s="9" t="n">
        <v>6</v>
      </c>
      <c r="X10" s="9" t="n">
        <v>6</v>
      </c>
      <c r="Y10" s="9" t="n">
        <v>6</v>
      </c>
      <c r="Z10" s="9" t="n">
        <v>6</v>
      </c>
      <c r="AA10" s="9" t="n">
        <v>10</v>
      </c>
      <c r="AB10" s="9" t="n">
        <v>10</v>
      </c>
      <c r="AC10" s="9" t="n">
        <v>10</v>
      </c>
      <c r="AD10" s="9" t="n">
        <v>10</v>
      </c>
      <c r="AE10" s="9" t="n">
        <v>10</v>
      </c>
      <c r="AF10" s="9" t="n">
        <v>10</v>
      </c>
      <c r="AG10" s="9" t="n">
        <v>10</v>
      </c>
      <c r="AH10" s="9" t="n">
        <v>10</v>
      </c>
      <c r="AI10" s="9" t="n">
        <v>10</v>
      </c>
      <c r="AJ10" s="9" t="n">
        <v>10</v>
      </c>
      <c r="AK10" s="9" t="n">
        <v>10</v>
      </c>
      <c r="AL10" s="9" t="n">
        <v>10</v>
      </c>
      <c r="AM10" s="15">
        <f>SUM(C10:N10)</f>
        <v/>
      </c>
      <c r="AN10" s="15">
        <f>SUM(O10:Z10)</f>
        <v/>
      </c>
      <c r="AO10" s="15">
        <f>SUM(AA10:AL10)</f>
        <v/>
      </c>
    </row>
    <row r="11">
      <c r="B11" s="4" t="inlineStr">
        <is>
          <t>R&amp;D e innovazione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3</v>
      </c>
      <c r="P11" s="9" t="n">
        <v>3</v>
      </c>
      <c r="Q11" s="9" t="n">
        <v>3</v>
      </c>
      <c r="R11" s="9" t="n">
        <v>3</v>
      </c>
      <c r="S11" s="9" t="n">
        <v>3</v>
      </c>
      <c r="T11" s="9" t="n">
        <v>3</v>
      </c>
      <c r="U11" s="9" t="n">
        <v>3</v>
      </c>
      <c r="V11" s="9" t="n">
        <v>3</v>
      </c>
      <c r="W11" s="9" t="n">
        <v>3</v>
      </c>
      <c r="X11" s="9" t="n">
        <v>3</v>
      </c>
      <c r="Y11" s="9" t="n">
        <v>3</v>
      </c>
      <c r="Z11" s="9" t="n">
        <v>3</v>
      </c>
      <c r="AA11" s="9" t="n">
        <v>5</v>
      </c>
      <c r="AB11" s="9" t="n">
        <v>5</v>
      </c>
      <c r="AC11" s="9" t="n">
        <v>5</v>
      </c>
      <c r="AD11" s="9" t="n">
        <v>5</v>
      </c>
      <c r="AE11" s="9" t="n">
        <v>5</v>
      </c>
      <c r="AF11" s="9" t="n">
        <v>5</v>
      </c>
      <c r="AG11" s="9" t="n">
        <v>5</v>
      </c>
      <c r="AH11" s="9" t="n">
        <v>5</v>
      </c>
      <c r="AI11" s="9" t="n">
        <v>5</v>
      </c>
      <c r="AJ11" s="9" t="n">
        <v>5</v>
      </c>
      <c r="AK11" s="9" t="n">
        <v>5</v>
      </c>
      <c r="AL11" s="9" t="n">
        <v>5</v>
      </c>
      <c r="AM11" s="15">
        <f>SUM(C11:N11)</f>
        <v/>
      </c>
      <c r="AN11" s="15">
        <f>SUM(O11:Z11)</f>
        <v/>
      </c>
      <c r="AO11" s="15">
        <f>SUM(AA11:AL11)</f>
        <v/>
      </c>
    </row>
    <row r="12">
      <c r="B12" s="13" t="inlineStr">
        <is>
          <t>EBITDA</t>
        </is>
      </c>
      <c r="C12" s="14">
        <f>C8-C9-C10-C11</f>
        <v/>
      </c>
      <c r="D12" s="14">
        <f>D8-D9-D10-D11</f>
        <v/>
      </c>
      <c r="E12" s="14">
        <f>E8-E9-E10-E11</f>
        <v/>
      </c>
      <c r="F12" s="14">
        <f>F8-F9-F10-F11</f>
        <v/>
      </c>
      <c r="G12" s="14">
        <f>G8-G9-G10-G11</f>
        <v/>
      </c>
      <c r="H12" s="14">
        <f>H8-H9-H10-H11</f>
        <v/>
      </c>
      <c r="I12" s="14">
        <f>I8-I9-I10-I11</f>
        <v/>
      </c>
      <c r="J12" s="14">
        <f>J8-J9-J10-J11</f>
        <v/>
      </c>
      <c r="K12" s="14">
        <f>K8-K9-K10-K11</f>
        <v/>
      </c>
      <c r="L12" s="14">
        <f>L8-L9-L10-L11</f>
        <v/>
      </c>
      <c r="M12" s="14">
        <f>M8-M9-M10-M11</f>
        <v/>
      </c>
      <c r="N12" s="14">
        <f>N8-N9-N10-N11</f>
        <v/>
      </c>
      <c r="O12" s="14">
        <f>O8-O9-O10-O11</f>
        <v/>
      </c>
      <c r="P12" s="14">
        <f>P8-P9-P10-P11</f>
        <v/>
      </c>
      <c r="Q12" s="14">
        <f>Q8-Q9-Q10-Q11</f>
        <v/>
      </c>
      <c r="R12" s="14">
        <f>R8-R9-R10-R11</f>
        <v/>
      </c>
      <c r="S12" s="14">
        <f>S8-S9-S10-S11</f>
        <v/>
      </c>
      <c r="T12" s="14">
        <f>T8-T9-T10-T11</f>
        <v/>
      </c>
      <c r="U12" s="14">
        <f>U8-U9-U10-U11</f>
        <v/>
      </c>
      <c r="V12" s="14">
        <f>V8-V9-V10-V11</f>
        <v/>
      </c>
      <c r="W12" s="14">
        <f>W8-W9-W10-W11</f>
        <v/>
      </c>
      <c r="X12" s="14">
        <f>X8-X9-X10-X11</f>
        <v/>
      </c>
      <c r="Y12" s="14">
        <f>Y8-Y9-Y10-Y11</f>
        <v/>
      </c>
      <c r="Z12" s="14">
        <f>Z8-Z9-Z10-Z11</f>
        <v/>
      </c>
      <c r="AA12" s="14">
        <f>AA8-AA9-AA10-AA11</f>
        <v/>
      </c>
      <c r="AB12" s="14">
        <f>AB8-AB9-AB10-AB11</f>
        <v/>
      </c>
      <c r="AC12" s="14">
        <f>AC8-AC9-AC10-AC11</f>
        <v/>
      </c>
      <c r="AD12" s="14">
        <f>AD8-AD9-AD10-AD11</f>
        <v/>
      </c>
      <c r="AE12" s="14">
        <f>AE8-AE9-AE10-AE11</f>
        <v/>
      </c>
      <c r="AF12" s="14">
        <f>AF8-AF9-AF10-AF11</f>
        <v/>
      </c>
      <c r="AG12" s="14">
        <f>AG8-AG9-AG10-AG11</f>
        <v/>
      </c>
      <c r="AH12" s="14">
        <f>AH8-AH9-AH10-AH11</f>
        <v/>
      </c>
      <c r="AI12" s="14">
        <f>AI8-AI9-AI10-AI11</f>
        <v/>
      </c>
      <c r="AJ12" s="14">
        <f>AJ8-AJ9-AJ10-AJ11</f>
        <v/>
      </c>
      <c r="AK12" s="14">
        <f>AK8-AK9-AK10-AK11</f>
        <v/>
      </c>
      <c r="AL12" s="14">
        <f>AL8-AL9-AL10-AL11</f>
        <v/>
      </c>
      <c r="AM12" s="14">
        <f>SUM(C12:N12)</f>
        <v/>
      </c>
      <c r="AN12" s="14">
        <f>SUM(O12:Z12)</f>
        <v/>
      </c>
      <c r="AO12" s="14">
        <f>SUM(AA12:AL12)</f>
        <v/>
      </c>
    </row>
    <row r="14">
      <c r="B14" s="4" t="inlineStr">
        <is>
          <t>Capex</t>
        </is>
      </c>
      <c r="C14" s="9" t="n">
        <v>3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0.5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3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5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15">
        <f>SUM(C14:N14)</f>
        <v/>
      </c>
      <c r="AN14" s="15">
        <f>SUM(O14:Z14)</f>
        <v/>
      </c>
      <c r="AO14" s="15">
        <f>SUM(AA14:AL14)</f>
        <v/>
      </c>
    </row>
    <row r="15">
      <c r="B15" s="4" t="inlineStr">
        <is>
          <t>Smart&amp;Start (inflow)</t>
        </is>
      </c>
      <c r="C15" s="9" t="n">
        <v>0</v>
      </c>
      <c r="D15" s="9" t="n">
        <v>200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15">
        <f>SUM(C15:N15)</f>
        <v/>
      </c>
      <c r="AN15" s="15">
        <f>SUM(O15:Z15)</f>
        <v/>
      </c>
      <c r="AO15" s="15">
        <f>SUM(AA15:AL15)</f>
        <v/>
      </c>
    </row>
    <row r="16">
      <c r="B16" s="4" t="inlineStr">
        <is>
          <t>Acceleratori (inflow)</t>
        </is>
      </c>
      <c r="C16" s="9" t="n">
        <v>0</v>
      </c>
      <c r="D16" s="9" t="n">
        <v>0</v>
      </c>
      <c r="E16" s="9" t="n">
        <v>0</v>
      </c>
      <c r="F16" s="9" t="n">
        <v>30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  <c r="AM16" s="15">
        <f>SUM(C16:N16)</f>
        <v/>
      </c>
      <c r="AN16" s="15">
        <f>SUM(O16:Z16)</f>
        <v/>
      </c>
      <c r="AO16" s="15">
        <f>SUM(AA16:AL16)</f>
        <v/>
      </c>
    </row>
    <row r="17">
      <c r="B17" s="4" t="inlineStr">
        <is>
          <t>Round pre-seed (inflow)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100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15">
        <f>SUM(C17:N17)</f>
        <v/>
      </c>
      <c r="AN17" s="15">
        <f>SUM(O17:Z17)</f>
        <v/>
      </c>
      <c r="AO17" s="15">
        <f>SUM(AA17:AL17)</f>
        <v/>
      </c>
    </row>
    <row r="18">
      <c r="B18" s="4" t="inlineStr">
        <is>
          <t>Round seed (inflow)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750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  <c r="AM18" s="15">
        <f>SUM(C18:N18)</f>
        <v/>
      </c>
      <c r="AN18" s="15">
        <f>SUM(O18:Z18)</f>
        <v/>
      </c>
      <c r="AO18" s="15">
        <f>SUM(AA18:AL18)</f>
        <v/>
      </c>
    </row>
    <row r="20">
      <c r="B20" s="17" t="inlineStr">
        <is>
          <t>Net cash flow</t>
        </is>
      </c>
      <c r="C20" s="18">
        <f>C12-C14+C15+C16+C17+C18</f>
        <v/>
      </c>
      <c r="D20" s="18">
        <f>D12-D14+D15+D16+D17+D18</f>
        <v/>
      </c>
      <c r="E20" s="18">
        <f>E12-E14+E15+E16+E17+E18</f>
        <v/>
      </c>
      <c r="F20" s="18">
        <f>F12-F14+F15+F16+F17+F18</f>
        <v/>
      </c>
      <c r="G20" s="18">
        <f>G12-G14+G15+G16+G17+G18</f>
        <v/>
      </c>
      <c r="H20" s="18">
        <f>H12-H14+H15+H16+H17+H18</f>
        <v/>
      </c>
      <c r="I20" s="18">
        <f>I12-I14+I15+I16+I17+I18</f>
        <v/>
      </c>
      <c r="J20" s="18">
        <f>J12-J14+J15+J16+J17+J18</f>
        <v/>
      </c>
      <c r="K20" s="18">
        <f>K12-K14+K15+K16+K17+K18</f>
        <v/>
      </c>
      <c r="L20" s="18">
        <f>L12-L14+L15+L16+L17+L18</f>
        <v/>
      </c>
      <c r="M20" s="18">
        <f>M12-M14+M15+M16+M17+M18</f>
        <v/>
      </c>
      <c r="N20" s="18">
        <f>N12-N14+N15+N16+N17+N18</f>
        <v/>
      </c>
      <c r="O20" s="18">
        <f>O12-O14+O15+O16+O17+O18</f>
        <v/>
      </c>
      <c r="P20" s="18">
        <f>P12-P14+P15+P16+P17+P18</f>
        <v/>
      </c>
      <c r="Q20" s="18">
        <f>Q12-Q14+Q15+Q16+Q17+Q18</f>
        <v/>
      </c>
      <c r="R20" s="18">
        <f>R12-R14+R15+R16+R17+R18</f>
        <v/>
      </c>
      <c r="S20" s="18">
        <f>S12-S14+S15+S16+S17+S18</f>
        <v/>
      </c>
      <c r="T20" s="18">
        <f>T12-T14+T15+T16+T17+T18</f>
        <v/>
      </c>
      <c r="U20" s="18">
        <f>U12-U14+U15+U16+U17+U18</f>
        <v/>
      </c>
      <c r="V20" s="18">
        <f>V12-V14+V15+V16+V17+V18</f>
        <v/>
      </c>
      <c r="W20" s="18">
        <f>W12-W14+W15+W16+W17+W18</f>
        <v/>
      </c>
      <c r="X20" s="18">
        <f>X12-X14+X15+X16+X17+X18</f>
        <v/>
      </c>
      <c r="Y20" s="18">
        <f>Y12-Y14+Y15+Y16+Y17+Y18</f>
        <v/>
      </c>
      <c r="Z20" s="18">
        <f>Z12-Z14+Z15+Z16+Z17+Z18</f>
        <v/>
      </c>
      <c r="AA20" s="18">
        <f>AA12-AA14+AA15+AA16+AA17+AA18</f>
        <v/>
      </c>
      <c r="AB20" s="18">
        <f>AB12-AB14+AB15+AB16+AB17+AB18</f>
        <v/>
      </c>
      <c r="AC20" s="18">
        <f>AC12-AC14+AC15+AC16+AC17+AC18</f>
        <v/>
      </c>
      <c r="AD20" s="18">
        <f>AD12-AD14+AD15+AD16+AD17+AD18</f>
        <v/>
      </c>
      <c r="AE20" s="18">
        <f>AE12-AE14+AE15+AE16+AE17+AE18</f>
        <v/>
      </c>
      <c r="AF20" s="18">
        <f>AF12-AF14+AF15+AF16+AF17+AF18</f>
        <v/>
      </c>
      <c r="AG20" s="18">
        <f>AG12-AG14+AG15+AG16+AG17+AG18</f>
        <v/>
      </c>
      <c r="AH20" s="18">
        <f>AH12-AH14+AH15+AH16+AH17+AH18</f>
        <v/>
      </c>
      <c r="AI20" s="18">
        <f>AI12-AI14+AI15+AI16+AI17+AI18</f>
        <v/>
      </c>
      <c r="AJ20" s="18">
        <f>AJ12-AJ14+AJ15+AJ16+AJ17+AJ18</f>
        <v/>
      </c>
      <c r="AK20" s="18">
        <f>AK12-AK14+AK15+AK16+AK17+AK18</f>
        <v/>
      </c>
      <c r="AL20" s="18">
        <f>AL12-AL14+AL15+AL16+AL17+AL18</f>
        <v/>
      </c>
      <c r="AM20" s="18">
        <f>SUM(C20:N20)</f>
        <v/>
      </c>
      <c r="AN20" s="18">
        <f>SUM(O20:Z20)</f>
        <v/>
      </c>
      <c r="AO20" s="18">
        <f>SUM(AA20:AL20)</f>
        <v/>
      </c>
    </row>
    <row r="21">
      <c r="B21" s="13" t="inlineStr">
        <is>
          <t>Cash position (cumulativa)</t>
        </is>
      </c>
      <c r="C21" s="7">
        <f>C20</f>
        <v/>
      </c>
      <c r="D21" s="14">
        <f>C21+D20</f>
        <v/>
      </c>
      <c r="E21" s="14">
        <f>D21+E20</f>
        <v/>
      </c>
      <c r="F21" s="14">
        <f>E21+F20</f>
        <v/>
      </c>
      <c r="G21" s="14">
        <f>F21+G20</f>
        <v/>
      </c>
      <c r="H21" s="14">
        <f>G21+H20</f>
        <v/>
      </c>
      <c r="I21" s="14">
        <f>H21+I20</f>
        <v/>
      </c>
      <c r="J21" s="14">
        <f>I21+J20</f>
        <v/>
      </c>
      <c r="K21" s="14">
        <f>J21+K20</f>
        <v/>
      </c>
      <c r="L21" s="14">
        <f>K21+L20</f>
        <v/>
      </c>
      <c r="M21" s="14">
        <f>L21+M20</f>
        <v/>
      </c>
      <c r="N21" s="14">
        <f>M21+N20</f>
        <v/>
      </c>
      <c r="O21" s="14">
        <f>N21+O20</f>
        <v/>
      </c>
      <c r="P21" s="14">
        <f>O21+P20</f>
        <v/>
      </c>
      <c r="Q21" s="14">
        <f>P21+Q20</f>
        <v/>
      </c>
      <c r="R21" s="14">
        <f>Q21+R20</f>
        <v/>
      </c>
      <c r="S21" s="14">
        <f>R21+S20</f>
        <v/>
      </c>
      <c r="T21" s="14">
        <f>S21+T20</f>
        <v/>
      </c>
      <c r="U21" s="14">
        <f>T21+U20</f>
        <v/>
      </c>
      <c r="V21" s="14">
        <f>U21+V20</f>
        <v/>
      </c>
      <c r="W21" s="14">
        <f>V21+W20</f>
        <v/>
      </c>
      <c r="X21" s="14">
        <f>W21+X20</f>
        <v/>
      </c>
      <c r="Y21" s="14">
        <f>X21+Y20</f>
        <v/>
      </c>
      <c r="Z21" s="14">
        <f>Y21+Z20</f>
        <v/>
      </c>
      <c r="AA21" s="14">
        <f>Z21+AA20</f>
        <v/>
      </c>
      <c r="AB21" s="14">
        <f>AA21+AB20</f>
        <v/>
      </c>
      <c r="AC21" s="14">
        <f>AB21+AC20</f>
        <v/>
      </c>
      <c r="AD21" s="14">
        <f>AC21+AD20</f>
        <v/>
      </c>
      <c r="AE21" s="14">
        <f>AD21+AE20</f>
        <v/>
      </c>
      <c r="AF21" s="14">
        <f>AE21+AF20</f>
        <v/>
      </c>
      <c r="AG21" s="14">
        <f>AF21+AG20</f>
        <v/>
      </c>
      <c r="AH21" s="14">
        <f>AG21+AH20</f>
        <v/>
      </c>
      <c r="AI21" s="14">
        <f>AH21+AI20</f>
        <v/>
      </c>
      <c r="AJ21" s="14">
        <f>AI21+AJ20</f>
        <v/>
      </c>
      <c r="AK21" s="14">
        <f>AJ21+AK20</f>
        <v/>
      </c>
      <c r="AL21" s="14">
        <f>AK21+AL20</f>
        <v/>
      </c>
      <c r="AM21" s="14">
        <f>M21</f>
        <v/>
      </c>
      <c r="AN21" s="14">
        <f>Y21</f>
        <v/>
      </c>
      <c r="AO21" s="14">
        <f>AK21</f>
        <v/>
      </c>
    </row>
    <row r="23">
      <c r="B23" s="7" t="inlineStr">
        <is>
          <t>Runway (mesi)</t>
        </is>
      </c>
      <c r="C23" s="19">
        <f>IF(C21&lt;=0,"BREAK",IF(C20&gt;=0,"INF",-(C21)/C20))</f>
        <v/>
      </c>
      <c r="D23" s="19">
        <f>IF(D21&lt;=0,"BREAK",IF(D20&gt;=0,"INF",-(D21)/D20))</f>
        <v/>
      </c>
      <c r="E23" s="19">
        <f>IF(E21&lt;=0,"BREAK",IF(E20&gt;=0,"INF",-(E21)/E20))</f>
        <v/>
      </c>
      <c r="F23" s="19">
        <f>IF(F21&lt;=0,"BREAK",IF(F20&gt;=0,"INF",-(F21)/F20))</f>
        <v/>
      </c>
      <c r="G23" s="19">
        <f>IF(G21&lt;=0,"BREAK",IF(G20&gt;=0,"INF",-(G21)/G20))</f>
        <v/>
      </c>
      <c r="H23" s="19">
        <f>IF(H21&lt;=0,"BREAK",IF(H20&gt;=0,"INF",-(H21)/H20))</f>
        <v/>
      </c>
      <c r="I23" s="19">
        <f>IF(I21&lt;=0,"BREAK",IF(I20&gt;=0,"INF",-(I21)/I20))</f>
        <v/>
      </c>
      <c r="J23" s="19">
        <f>IF(J21&lt;=0,"BREAK",IF(J20&gt;=0,"INF",-(J21)/J20))</f>
        <v/>
      </c>
      <c r="K23" s="19">
        <f>IF(K21&lt;=0,"BREAK",IF(K20&gt;=0,"INF",-(K21)/K20))</f>
        <v/>
      </c>
      <c r="L23" s="19">
        <f>IF(L21&lt;=0,"BREAK",IF(L20&gt;=0,"INF",-(L21)/L20))</f>
        <v/>
      </c>
      <c r="M23" s="19">
        <f>IF(M21&lt;=0,"BREAK",IF(M20&gt;=0,"INF",-(M21)/M20))</f>
        <v/>
      </c>
      <c r="N23" s="19">
        <f>IF(N21&lt;=0,"BREAK",IF(N20&gt;=0,"INF",-(N21)/N20))</f>
        <v/>
      </c>
      <c r="O23" s="19">
        <f>IF(O21&lt;=0,"BREAK",IF(O20&gt;=0,"INF",-(O21)/O20))</f>
        <v/>
      </c>
      <c r="P23" s="19">
        <f>IF(P21&lt;=0,"BREAK",IF(P20&gt;=0,"INF",-(P21)/P20))</f>
        <v/>
      </c>
      <c r="Q23" s="19">
        <f>IF(Q21&lt;=0,"BREAK",IF(Q20&gt;=0,"INF",-(Q21)/Q20))</f>
        <v/>
      </c>
      <c r="R23" s="19">
        <f>IF(R21&lt;=0,"BREAK",IF(R20&gt;=0,"INF",-(R21)/R20))</f>
        <v/>
      </c>
      <c r="S23" s="19">
        <f>IF(S21&lt;=0,"BREAK",IF(S20&gt;=0,"INF",-(S21)/S20))</f>
        <v/>
      </c>
      <c r="T23" s="19">
        <f>IF(T21&lt;=0,"BREAK",IF(T20&gt;=0,"INF",-(T21)/T20))</f>
        <v/>
      </c>
      <c r="U23" s="19">
        <f>IF(U21&lt;=0,"BREAK",IF(U20&gt;=0,"INF",-(U21)/U20))</f>
        <v/>
      </c>
      <c r="V23" s="19">
        <f>IF(V21&lt;=0,"BREAK",IF(V20&gt;=0,"INF",-(V21)/V20))</f>
        <v/>
      </c>
      <c r="W23" s="19">
        <f>IF(W21&lt;=0,"BREAK",IF(W20&gt;=0,"INF",-(W21)/W20))</f>
        <v/>
      </c>
      <c r="X23" s="19">
        <f>IF(X21&lt;=0,"BREAK",IF(X20&gt;=0,"INF",-(X21)/X20))</f>
        <v/>
      </c>
      <c r="Y23" s="19">
        <f>IF(Y21&lt;=0,"BREAK",IF(Y20&gt;=0,"INF",-(Y21)/Y20))</f>
        <v/>
      </c>
      <c r="Z23" s="19">
        <f>IF(Z21&lt;=0,"BREAK",IF(Z20&gt;=0,"INF",-(Z21)/Z20))</f>
        <v/>
      </c>
      <c r="AA23" s="19">
        <f>IF(AA21&lt;=0,"BREAK",IF(AA20&gt;=0,"INF",-(AA21)/AA20))</f>
        <v/>
      </c>
      <c r="AB23" s="19">
        <f>IF(AB21&lt;=0,"BREAK",IF(AB20&gt;=0,"INF",-(AB21)/AB20))</f>
        <v/>
      </c>
      <c r="AC23" s="19">
        <f>IF(AC21&lt;=0,"BREAK",IF(AC20&gt;=0,"INF",-(AC21)/AC20))</f>
        <v/>
      </c>
      <c r="AD23" s="19">
        <f>IF(AD21&lt;=0,"BREAK",IF(AD20&gt;=0,"INF",-(AD21)/AD20))</f>
        <v/>
      </c>
      <c r="AE23" s="19">
        <f>IF(AE21&lt;=0,"BREAK",IF(AE20&gt;=0,"INF",-(AE21)/AE20))</f>
        <v/>
      </c>
      <c r="AF23" s="19">
        <f>IF(AF21&lt;=0,"BREAK",IF(AF20&gt;=0,"INF",-(AF21)/AF20))</f>
        <v/>
      </c>
      <c r="AG23" s="19">
        <f>IF(AG21&lt;=0,"BREAK",IF(AG20&gt;=0,"INF",-(AG21)/AG20))</f>
        <v/>
      </c>
      <c r="AH23" s="19">
        <f>IF(AH21&lt;=0,"BREAK",IF(AH20&gt;=0,"INF",-(AH21)/AH20))</f>
        <v/>
      </c>
      <c r="AI23" s="19">
        <f>IF(AI21&lt;=0,"BREAK",IF(AI20&gt;=0,"INF",-(AI21)/AI20))</f>
        <v/>
      </c>
      <c r="AJ23" s="19">
        <f>IF(AJ21&lt;=0,"BREAK",IF(AJ20&gt;=0,"INF",-(AJ21)/AJ20))</f>
        <v/>
      </c>
      <c r="AK23" s="19">
        <f>IF(AK21&lt;=0,"BREAK",IF(AK20&gt;=0,"INF",-(AK21)/AK20))</f>
        <v/>
      </c>
      <c r="AL23" s="19">
        <f>IF(AL21&lt;=0,"BREAK",IF(AL20&gt;=0,"INF",-(AL21)/AL20))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Conto Economico Annuale v3.0</t>
        </is>
      </c>
    </row>
    <row r="3">
      <c r="A3" s="2" t="inlineStr">
        <is>
          <t>Sintesi da PL_Monthly · conservativa, realistica</t>
        </is>
      </c>
    </row>
    <row r="5">
      <c r="A5" s="5" t="n"/>
      <c r="B5" s="5" t="inlineStr"/>
      <c r="C5" s="5" t="inlineStr">
        <is>
          <t>Voce (k€)</t>
        </is>
      </c>
      <c r="D5" s="5" t="inlineStr">
        <is>
          <t>Anno 1</t>
        </is>
      </c>
      <c r="E5" s="5" t="inlineStr">
        <is>
          <t>Anno 2</t>
        </is>
      </c>
      <c r="F5" s="5" t="inlineStr">
        <is>
          <t>Anno 3</t>
        </is>
      </c>
      <c r="G5" s="5" t="inlineStr">
        <is>
          <t>3Y Total</t>
        </is>
      </c>
    </row>
    <row r="6">
      <c r="B6" s="7" t="inlineStr">
        <is>
          <t>Ricavi totali</t>
        </is>
      </c>
      <c r="D6" s="20">
        <f>PL_Monthly!AM6</f>
        <v/>
      </c>
      <c r="E6" s="20">
        <f>PL_Monthly!AN6</f>
        <v/>
      </c>
      <c r="F6" s="20">
        <f>PL_Monthly!AO6</f>
        <v/>
      </c>
      <c r="G6" s="21">
        <f>SUM(D6:F6)</f>
        <v/>
      </c>
    </row>
    <row r="7">
      <c r="B7" s="4" t="inlineStr">
        <is>
          <t>COGS</t>
        </is>
      </c>
      <c r="D7" s="20">
        <f>PL_Monthly!AM7</f>
        <v/>
      </c>
      <c r="E7" s="20">
        <f>PL_Monthly!AN7</f>
        <v/>
      </c>
      <c r="F7" s="20">
        <f>PL_Monthly!AO7</f>
        <v/>
      </c>
      <c r="G7" s="21">
        <f>SUM(D7:F7)</f>
        <v/>
      </c>
    </row>
    <row r="8">
      <c r="B8" s="7" t="inlineStr">
        <is>
          <t>Margine Lordo</t>
        </is>
      </c>
      <c r="D8" s="20">
        <f>PL_Monthly!AM8</f>
        <v/>
      </c>
      <c r="E8" s="20">
        <f>PL_Monthly!AN8</f>
        <v/>
      </c>
      <c r="F8" s="20">
        <f>PL_Monthly!AO8</f>
        <v/>
      </c>
      <c r="G8" s="21">
        <f>SUM(D8:F8)</f>
        <v/>
      </c>
    </row>
    <row r="9">
      <c r="B9" s="4" t="inlineStr">
        <is>
          <t>Personale</t>
        </is>
      </c>
      <c r="D9" s="20">
        <f>PL_Monthly!AM9</f>
        <v/>
      </c>
      <c r="E9" s="20">
        <f>PL_Monthly!AN9</f>
        <v/>
      </c>
      <c r="F9" s="20">
        <f>PL_Monthly!AO9</f>
        <v/>
      </c>
      <c r="G9" s="21">
        <f>SUM(D9:F9)</f>
        <v/>
      </c>
    </row>
    <row r="10">
      <c r="B10" s="4" t="inlineStr">
        <is>
          <t>Costi operativi</t>
        </is>
      </c>
      <c r="D10" s="20">
        <f>PL_Monthly!AM10</f>
        <v/>
      </c>
      <c r="E10" s="20">
        <f>PL_Monthly!AN10</f>
        <v/>
      </c>
      <c r="F10" s="20">
        <f>PL_Monthly!AO10</f>
        <v/>
      </c>
      <c r="G10" s="21">
        <f>SUM(D10:F10)</f>
        <v/>
      </c>
    </row>
    <row r="11">
      <c r="B11" s="4" t="inlineStr">
        <is>
          <t>R&amp;D</t>
        </is>
      </c>
      <c r="D11" s="20">
        <f>PL_Monthly!AM11</f>
        <v/>
      </c>
      <c r="E11" s="20">
        <f>PL_Monthly!AN11</f>
        <v/>
      </c>
      <c r="F11" s="20">
        <f>PL_Monthly!AO11</f>
        <v/>
      </c>
      <c r="G11" s="21">
        <f>SUM(D11:F11)</f>
        <v/>
      </c>
    </row>
    <row r="12">
      <c r="B12" s="7" t="inlineStr">
        <is>
          <t>EBITDA</t>
        </is>
      </c>
      <c r="D12" s="20">
        <f>PL_Monthly!AM12</f>
        <v/>
      </c>
      <c r="E12" s="20">
        <f>PL_Monthly!AN12</f>
        <v/>
      </c>
      <c r="F12" s="20">
        <f>PL_Monthly!AO12</f>
        <v/>
      </c>
      <c r="G12" s="21">
        <f>SUM(D12:F12)</f>
        <v/>
      </c>
    </row>
    <row r="13">
      <c r="B13" s="7" t="inlineStr">
        <is>
          <t>Net cash flow</t>
        </is>
      </c>
      <c r="D13" s="20">
        <f>PL_Monthly!AM20</f>
        <v/>
      </c>
      <c r="E13" s="20">
        <f>PL_Monthly!AN20</f>
        <v/>
      </c>
      <c r="F13" s="20">
        <f>PL_Monthly!AO20</f>
        <v/>
      </c>
      <c r="G13" s="21">
        <f>SUM(D13:F13)</f>
        <v/>
      </c>
    </row>
    <row r="15">
      <c r="B15" s="7" t="inlineStr">
        <is>
          <t>Margine %</t>
        </is>
      </c>
      <c r="D15" s="22">
        <f>D8/D6</f>
        <v/>
      </c>
      <c r="E15" s="22">
        <f>E8/E6</f>
        <v/>
      </c>
      <c r="F15" s="22">
        <f>F8/F6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Cash Flow + Scenari v3.0</t>
        </is>
      </c>
    </row>
    <row r="3">
      <c r="A3" s="2" t="inlineStr">
        <is>
          <t>Base / Pessimistico / Ottimistico</t>
        </is>
      </c>
    </row>
    <row r="5">
      <c r="A5" s="5" t="n"/>
      <c r="B5" s="5" t="inlineStr"/>
      <c r="C5" s="5" t="inlineStr">
        <is>
          <t>Voce (k€)</t>
        </is>
      </c>
      <c r="D5" s="5" t="inlineStr">
        <is>
          <t>Anno 1</t>
        </is>
      </c>
      <c r="E5" s="5" t="inlineStr">
        <is>
          <t>Anno 2</t>
        </is>
      </c>
      <c r="F5" s="5" t="inlineStr">
        <is>
          <t>Anno 3</t>
        </is>
      </c>
    </row>
    <row r="6">
      <c r="B6" s="4" t="inlineStr">
        <is>
          <t>Operating cash flow</t>
        </is>
      </c>
      <c r="D6" s="20">
        <f>=PL_Monthly!AM20</f>
        <v/>
      </c>
      <c r="E6" s="20">
        <f>=PL_Monthly!AN20</f>
        <v/>
      </c>
      <c r="F6" s="20">
        <f>=PL_Monthly!AO20</f>
        <v/>
      </c>
    </row>
    <row r="7">
      <c r="B7" s="4" t="inlineStr">
        <is>
          <t>Investing cash flow (capex)</t>
        </is>
      </c>
      <c r="D7" s="20">
        <f>=-SUM(PL_Monthly!C14:AL14)</f>
        <v/>
      </c>
      <c r="E7" s="20">
        <f>=-SUM(PL_Monthly!C14:AL14)</f>
        <v/>
      </c>
      <c r="F7" s="20">
        <f>=-SUM(PL_Monthly!C14:AL14)</f>
        <v/>
      </c>
    </row>
    <row r="8">
      <c r="B8" s="4" t="inlineStr">
        <is>
          <t>Financing cash flow</t>
        </is>
      </c>
      <c r="D8" s="20">
        <f>=PL_Monthly!AM15+PL_Monthly!AM16+PL_Monthly!AM17+PL_Monthly!AM18</f>
        <v/>
      </c>
      <c r="E8" s="20">
        <f>=PL_Monthly!AN15+PL_Monthly!AN16+PL_Monthly!AN17+PL_Monthly!AN18</f>
        <v/>
      </c>
      <c r="F8" s="20">
        <f>=PL_Monthly!AO15+PL_Monthly!AO16+PL_Monthly!AO17+PL_Monthly!AO18</f>
        <v/>
      </c>
    </row>
    <row r="9">
      <c r="B9" s="7" t="inlineStr">
        <is>
          <t>Net change in cash</t>
        </is>
      </c>
      <c r="D9" s="20">
        <f>SUM(D6:D8)</f>
        <v/>
      </c>
      <c r="E9" s="20">
        <f>SUM(D6:D8)</f>
        <v/>
      </c>
      <c r="F9" s="20">
        <f>SUM(D6:D8)</f>
        <v/>
      </c>
    </row>
    <row r="10">
      <c r="B10" s="7" t="inlineStr">
        <is>
          <t>Cash position end of year</t>
        </is>
      </c>
      <c r="D10" s="15">
        <f>PL_Monthly!M21</f>
        <v/>
      </c>
      <c r="E10" s="15">
        <f>PL_Monthly!Y21</f>
        <v/>
      </c>
      <c r="F10" s="15">
        <f>PL_Monthly!AK21</f>
        <v/>
      </c>
    </row>
    <row r="13">
      <c r="B13" s="3" t="inlineStr">
        <is>
          <t>Scenari (modifica per simulare)</t>
        </is>
      </c>
    </row>
    <row r="14">
      <c r="B14" s="4" t="inlineStr">
        <is>
          <t>Revenue Y3 (Base)</t>
        </is>
      </c>
      <c r="C14" s="9">
        <f>PL_Annual!F6</f>
        <v/>
      </c>
    </row>
    <row r="15">
      <c r="B15" s="4" t="inlineStr">
        <is>
          <t>Revenue Y3 (Pessimistico -30%)</t>
        </is>
      </c>
      <c r="C15" s="9">
        <f>PL_Annual!F6*0.7</f>
        <v/>
      </c>
    </row>
    <row r="16">
      <c r="B16" s="4" t="inlineStr">
        <is>
          <t>Revenue Y3 (Ottimistico +30%)</t>
        </is>
      </c>
      <c r="C16" s="9">
        <f>PL_Annual!F6*1.3</f>
        <v/>
      </c>
    </row>
    <row r="17">
      <c r="B17" s="4" t="inlineStr">
        <is>
          <t>EBITDA Y3 (Base)</t>
        </is>
      </c>
      <c r="C17" s="9">
        <f>PL_Annual!F12</f>
        <v/>
      </c>
    </row>
    <row r="18">
      <c r="B18" s="4" t="inlineStr">
        <is>
          <t>EBITDA Y3 (Pessimistico)</t>
        </is>
      </c>
      <c r="C18" s="9">
        <f>PL_Annual!F12*0.5</f>
        <v/>
      </c>
    </row>
    <row r="19">
      <c r="B19" s="4" t="inlineStr">
        <is>
          <t>EBITDA Y3 (Ottimistico)</t>
        </is>
      </c>
      <c r="C19" s="9">
        <f>PL_Annual!F12*1.5</f>
        <v/>
      </c>
    </row>
    <row r="20">
      <c r="B20" s="4" t="inlineStr">
        <is>
          <t>Team Y3 (Base)</t>
        </is>
      </c>
      <c r="C20" s="23" t="n">
        <v>5</v>
      </c>
    </row>
    <row r="21">
      <c r="B21" s="4" t="inlineStr">
        <is>
          <t>Team Y3 (Pessimistico)</t>
        </is>
      </c>
      <c r="C21" s="23" t="n">
        <v>3</v>
      </c>
    </row>
    <row r="22">
      <c r="B22" s="4" t="inlineStr">
        <is>
          <t>Team Y3 (Ottimistico)</t>
        </is>
      </c>
      <c r="C22" s="23" t="n">
        <v>8</v>
      </c>
    </row>
    <row r="23">
      <c r="B23" s="4" t="inlineStr">
        <is>
          <t>Cash position Y3 (Base)</t>
        </is>
      </c>
      <c r="C23" s="9">
        <f>PL_Monthly!AK21</f>
        <v/>
      </c>
    </row>
    <row r="24">
      <c r="B24" s="4" t="inlineStr">
        <is>
          <t>Cash position Y3 (Pessimistico)</t>
        </is>
      </c>
      <c r="C24" s="9">
        <f>PL_Monthly!AK21*0.5</f>
        <v/>
      </c>
    </row>
    <row r="25">
      <c r="B25" s="4" t="inlineStr">
        <is>
          <t>Cash position Y3 (Ottimistico)</t>
        </is>
      </c>
      <c r="C25" s="9">
        <f>PL_Monthly!AK21*1.5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Team Evolution v3.0 — Realistic</t>
        </is>
      </c>
    </row>
    <row r="3">
      <c r="A3" s="2" t="inlineStr">
        <is>
          <t>Founder solo → +advisor → +part-time → +co-founder → team</t>
        </is>
      </c>
    </row>
    <row r="5">
      <c r="A5" s="5" t="n"/>
      <c r="B5" s="5" t="inlineStr"/>
      <c r="C5" s="5" t="inlineStr">
        <is>
          <t>Ruolo</t>
        </is>
      </c>
      <c r="D5" s="5" t="inlineStr">
        <is>
          <t>Y1 FTE</t>
        </is>
      </c>
      <c r="E5" s="5" t="inlineStr">
        <is>
          <t>Y2 FTE</t>
        </is>
      </c>
      <c r="F5" s="5" t="inlineStr">
        <is>
          <t>Y3 FTE</t>
        </is>
      </c>
      <c r="G5" s="5" t="inlineStr">
        <is>
          <t>Salary Y1 (k€)</t>
        </is>
      </c>
      <c r="H5" s="5" t="inlineStr">
        <is>
          <t>Salary Y2 (k€)</t>
        </is>
      </c>
      <c r="I5" s="5" t="inlineStr">
        <is>
          <t>Salary Y3 (k€)</t>
        </is>
      </c>
    </row>
    <row r="6">
      <c r="B6" s="7" t="inlineStr">
        <is>
          <t>Founder &amp; CEO/CTO</t>
        </is>
      </c>
      <c r="C6" s="24" t="n">
        <v>0.5</v>
      </c>
      <c r="D6" s="24" t="n">
        <v>1</v>
      </c>
      <c r="E6" s="24" t="n">
        <v>1</v>
      </c>
      <c r="F6" s="24" t="n">
        <v>30</v>
      </c>
      <c r="G6" s="25" t="n">
        <v>50</v>
      </c>
      <c r="H6" s="25" t="n">
        <v>70</v>
      </c>
    </row>
    <row r="7">
      <c r="B7" s="7" t="inlineStr">
        <is>
          <t>Co-founder Commercial</t>
        </is>
      </c>
      <c r="C7" s="24" t="n">
        <v>0</v>
      </c>
      <c r="D7" s="24" t="n">
        <v>0</v>
      </c>
      <c r="E7" s="24" t="n">
        <v>1</v>
      </c>
      <c r="F7" s="24" t="n">
        <v>0</v>
      </c>
      <c r="G7" s="25" t="n">
        <v>0</v>
      </c>
      <c r="H7" s="25" t="n">
        <v>60</v>
      </c>
    </row>
    <row r="8">
      <c r="B8" s="7" t="inlineStr">
        <is>
          <t>Senior AI Engineer</t>
        </is>
      </c>
      <c r="C8" s="24" t="n">
        <v>0.3</v>
      </c>
      <c r="D8" s="24" t="n">
        <v>1</v>
      </c>
      <c r="E8" s="24" t="n">
        <v>1</v>
      </c>
      <c r="F8" s="24" t="n">
        <v>18</v>
      </c>
      <c r="G8" s="25" t="n">
        <v>55</v>
      </c>
      <c r="H8" s="25" t="n">
        <v>60</v>
      </c>
    </row>
    <row r="9">
      <c r="B9" s="7" t="inlineStr">
        <is>
          <t>Customer Success</t>
        </is>
      </c>
      <c r="C9" s="24" t="n">
        <v>0</v>
      </c>
      <c r="D9" s="24" t="n">
        <v>0.5</v>
      </c>
      <c r="E9" s="24" t="n">
        <v>1</v>
      </c>
      <c r="F9" s="24" t="n">
        <v>0</v>
      </c>
      <c r="G9" s="25" t="n">
        <v>18</v>
      </c>
      <c r="H9" s="25" t="n">
        <v>45</v>
      </c>
    </row>
    <row r="10">
      <c r="B10" s="13" t="inlineStr">
        <is>
          <t>Total FTE (avg)</t>
        </is>
      </c>
      <c r="C10" s="26" t="n">
        <v>0.8</v>
      </c>
      <c r="D10" s="26" t="n">
        <v>2.5</v>
      </c>
      <c r="E10" s="26" t="n">
        <v>4</v>
      </c>
      <c r="F10" s="26" t="n">
        <v>48</v>
      </c>
      <c r="G10" s="14" t="n">
        <v>123</v>
      </c>
      <c r="H10" s="14" t="n">
        <v>235</v>
      </c>
    </row>
    <row r="14">
      <c r="B14" s="3" t="inlineStr">
        <is>
          <t>Hiring plan (24 mesi)</t>
        </is>
      </c>
    </row>
    <row r="15">
      <c r="B15" s="7" t="inlineStr">
        <is>
          <t>M0</t>
        </is>
      </c>
      <c r="C15" s="4" t="inlineStr">
        <is>
          <t>Founder solo + bootstrap</t>
        </is>
      </c>
    </row>
    <row r="16">
      <c r="B16" s="7" t="inlineStr">
        <is>
          <t>M3</t>
        </is>
      </c>
      <c r="C16" s="4" t="inlineStr">
        <is>
          <t>+ advisor AI Act (1-2% equity) + advisor industry (1-2% equity)</t>
        </is>
      </c>
    </row>
    <row r="17">
      <c r="B17" s="7" t="inlineStr">
        <is>
          <t>M6</t>
        </is>
      </c>
      <c r="C17" s="4" t="inlineStr">
        <is>
          <t>+ 1 part-time AI engineer (collaboration)</t>
        </is>
      </c>
    </row>
    <row r="18">
      <c r="B18" s="7" t="inlineStr">
        <is>
          <t>M9</t>
        </is>
      </c>
      <c r="C18" s="4" t="inlineStr">
        <is>
          <t>+ co-founder commerciale (5-10% equity + salary)</t>
        </is>
      </c>
    </row>
    <row r="19">
      <c r="B19" s="7" t="inlineStr">
        <is>
          <t>M12</t>
        </is>
      </c>
      <c r="C19" s="4" t="inlineStr">
        <is>
          <t>+ 1 senior AI engineer (full) + 1 part-time customer success</t>
        </is>
      </c>
    </row>
    <row r="20">
      <c r="B20" s="7" t="inlineStr">
        <is>
          <t>M18</t>
        </is>
      </c>
      <c r="C20" s="4" t="inlineStr">
        <is>
          <t>+ 1 customer success full + 1 marketing/sales</t>
        </is>
      </c>
    </row>
    <row r="21">
      <c r="B21" s="7" t="inlineStr">
        <is>
          <t>M24</t>
        </is>
      </c>
      <c r="C21" s="4" t="inlineStr">
        <is>
          <t>Team completo ~5 FTE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Capex &amp; Ammortamenti v3.0</t>
        </is>
      </c>
    </row>
    <row r="3">
      <c r="A3" s="2" t="inlineStr">
        <is>
          <t>Conservativo: focus su setup + refresh, no edtech esagerati</t>
        </is>
      </c>
    </row>
    <row r="5">
      <c r="A5" s="5" t="n"/>
      <c r="B5" s="5" t="inlineStr"/>
      <c r="C5" s="5" t="inlineStr">
        <is>
          <t>Voce</t>
        </is>
      </c>
      <c r="D5" s="5" t="inlineStr">
        <is>
          <t>Y1</t>
        </is>
      </c>
      <c r="E5" s="5" t="inlineStr">
        <is>
          <t>Y2</t>
        </is>
      </c>
      <c r="F5" s="5" t="inlineStr">
        <is>
          <t>Y3</t>
        </is>
      </c>
      <c r="G5" s="5" t="inlineStr">
        <is>
          <t>Ammort. (anni)</t>
        </is>
      </c>
    </row>
    <row r="6">
      <c r="B6" s="4" t="inlineStr">
        <is>
          <t>Laptop / Workstation</t>
        </is>
      </c>
      <c r="C6" s="23" t="n">
        <v>2</v>
      </c>
      <c r="D6" s="23" t="n">
        <v>1</v>
      </c>
      <c r="E6" s="23" t="n">
        <v>1</v>
      </c>
      <c r="F6" s="23" t="n">
        <v>3</v>
      </c>
    </row>
    <row r="7">
      <c r="B7" s="4" t="inlineStr">
        <is>
          <t>GPU used per PoC</t>
        </is>
      </c>
      <c r="C7" s="23" t="n">
        <v>0.5</v>
      </c>
      <c r="D7" s="23" t="n">
        <v>0</v>
      </c>
      <c r="E7" s="23" t="n">
        <v>0</v>
      </c>
      <c r="F7" s="23" t="n">
        <v>3</v>
      </c>
    </row>
    <row r="8">
      <c r="B8" s="4" t="inlineStr">
        <is>
          <t>Jetson Orin (edge demo)</t>
        </is>
      </c>
      <c r="C8" s="23" t="n">
        <v>0.5</v>
      </c>
      <c r="D8" s="23" t="n">
        <v>0</v>
      </c>
      <c r="E8" s="23" t="n">
        <v>0.5</v>
      </c>
      <c r="F8" s="23" t="n">
        <v>3</v>
      </c>
    </row>
    <row r="9">
      <c r="B9" s="4" t="inlineStr">
        <is>
          <t>Marchi e brevetti</t>
        </is>
      </c>
      <c r="C9" s="23" t="n">
        <v>0</v>
      </c>
      <c r="D9" s="23" t="n">
        <v>1</v>
      </c>
      <c r="E9" s="23" t="n">
        <v>1</v>
      </c>
      <c r="F9" s="23" t="n">
        <v>5</v>
      </c>
    </row>
    <row r="10">
      <c r="B10" s="4" t="inlineStr">
        <is>
          <t>Server on-premise (opzionale)</t>
        </is>
      </c>
      <c r="C10" s="23" t="n">
        <v>0</v>
      </c>
      <c r="D10" s="23" t="n">
        <v>0</v>
      </c>
      <c r="E10" s="23" t="n">
        <v>2</v>
      </c>
      <c r="F10" s="23" t="n">
        <v>3</v>
      </c>
    </row>
    <row r="11">
      <c r="B11" s="4" t="inlineStr">
        <is>
          <t>Attrezzature demo (fiere)</t>
        </is>
      </c>
      <c r="C11" s="23" t="n">
        <v>0</v>
      </c>
      <c r="D11" s="23" t="n">
        <v>1</v>
      </c>
      <c r="E11" s="23" t="n">
        <v>0.5</v>
      </c>
      <c r="F11" s="23" t="n">
        <v>3</v>
      </c>
    </row>
    <row r="12">
      <c r="B12" s="7" t="inlineStr">
        <is>
          <t>TOTALE Capex</t>
        </is>
      </c>
      <c r="C12" s="14">
        <f>SUM(C6:C11)</f>
        <v/>
      </c>
      <c r="D12" s="14">
        <f>SUM(D6:D11)</f>
        <v/>
      </c>
      <c r="E12" s="14">
        <f>SUM(E6:E11)</f>
        <v/>
      </c>
    </row>
    <row r="14">
      <c r="B14" s="7" t="inlineStr">
        <is>
          <t>Ammortamento annuo (k€)</t>
        </is>
      </c>
      <c r="C14" s="9">
        <f>C12/3</f>
        <v/>
      </c>
      <c r="D14" s="9">
        <f>D12/3</f>
        <v/>
      </c>
      <c r="E14" s="9">
        <f>E12/3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KPI Dashboard v3.0</t>
        </is>
      </c>
    </row>
    <row r="3">
      <c r="A3" s="2" t="inlineStr">
        <is>
          <t>Tutti i KPI calcolati automaticamente</t>
        </is>
      </c>
    </row>
    <row r="5">
      <c r="A5" s="5" t="n"/>
      <c r="B5" s="5" t="inlineStr"/>
      <c r="C5" s="5" t="inlineStr">
        <is>
          <t>KPI</t>
        </is>
      </c>
      <c r="D5" s="5" t="inlineStr">
        <is>
          <t>Y1</t>
        </is>
      </c>
      <c r="E5" s="5" t="inlineStr">
        <is>
          <t>Y2</t>
        </is>
      </c>
      <c r="F5" s="5" t="inlineStr">
        <is>
          <t>Y3</t>
        </is>
      </c>
      <c r="G5" s="5" t="inlineStr">
        <is>
          <t>Target Y3</t>
        </is>
      </c>
    </row>
    <row r="6">
      <c r="B6" s="7" t="inlineStr">
        <is>
          <t>Clienti paganti</t>
        </is>
      </c>
      <c r="D6" s="9">
        <f>Revenue!D6</f>
        <v/>
      </c>
      <c r="E6" s="9">
        <f>Revenue!E6</f>
        <v/>
      </c>
      <c r="F6" s="9">
        <f>Revenue!F6</f>
        <v/>
      </c>
      <c r="G6" s="2" t="inlineStr">
        <is>
          <t>10</t>
        </is>
      </c>
    </row>
    <row r="7">
      <c r="B7" s="7" t="inlineStr">
        <is>
          <t>ACV medio (k€)</t>
        </is>
      </c>
      <c r="D7" s="9">
        <f>Revenue!D7</f>
        <v/>
      </c>
      <c r="E7" s="9">
        <f>Revenue!E7</f>
        <v/>
      </c>
      <c r="F7" s="9">
        <f>Revenue!F7</f>
        <v/>
      </c>
      <c r="G7" s="2" t="inlineStr">
        <is>
          <t>€ 115k</t>
        </is>
      </c>
    </row>
    <row r="8">
      <c r="B8" s="7" t="inlineStr">
        <is>
          <t>ARR (k€)</t>
        </is>
      </c>
      <c r="D8" s="9">
        <f>Revenue!D8*Assumptions!D13</f>
        <v/>
      </c>
      <c r="E8" s="9">
        <f>Revenue!E8*Assumptions!D14</f>
        <v/>
      </c>
      <c r="F8" s="9">
        <f>Revenue!F8*Assumptions!D15</f>
        <v/>
      </c>
      <c r="G8" s="2" t="inlineStr">
        <is>
          <t>€ 690k</t>
        </is>
      </c>
    </row>
    <row r="9">
      <c r="B9" s="7" t="inlineStr">
        <is>
          <t>Gross margin</t>
        </is>
      </c>
      <c r="D9" s="22">
        <f>PL_Annual!D8/PL_Annual!D6</f>
        <v/>
      </c>
      <c r="E9" s="22">
        <f>PL_Annual!E8/PL_Annual!E6</f>
        <v/>
      </c>
      <c r="F9" s="22">
        <f>PL_Annual!F8/PL_Annual!F6</f>
        <v/>
      </c>
      <c r="G9" s="2" t="inlineStr">
        <is>
          <t>70%</t>
        </is>
      </c>
    </row>
    <row r="10">
      <c r="B10" s="7" t="inlineStr">
        <is>
          <t>EBITDA (k€)</t>
        </is>
      </c>
      <c r="D10" s="9">
        <f>PL_Annual!D12</f>
        <v/>
      </c>
      <c r="E10" s="9">
        <f>PL_Annual!E12</f>
        <v/>
      </c>
      <c r="F10" s="9">
        <f>PL_Annual!F12</f>
        <v/>
      </c>
      <c r="G10" s="2" t="inlineStr">
        <is>
          <t>+€ 200k</t>
        </is>
      </c>
    </row>
    <row r="11">
      <c r="B11" s="7" t="inlineStr">
        <is>
          <t>Cash position end (k€)</t>
        </is>
      </c>
      <c r="D11" s="9">
        <f>PL_Monthly!M21</f>
        <v/>
      </c>
      <c r="E11" s="9">
        <f>PL_Monthly!Y21</f>
        <v/>
      </c>
      <c r="F11" s="9">
        <f>PL_Monthly!AK21</f>
        <v/>
      </c>
      <c r="G11" s="2" t="inlineStr">
        <is>
          <t>€ 800k+</t>
        </is>
      </c>
    </row>
    <row r="12">
      <c r="B12" s="7" t="inlineStr">
        <is>
          <t>Burn rate medio mensile (k€)</t>
        </is>
      </c>
      <c r="D12" s="9">
        <f>-AVERAGE(PL_Monthly!C12:PL_Monthly!N12)</f>
        <v/>
      </c>
      <c r="E12" s="9">
        <f>-AVERAGE(PL_Monthly!O12:PL_Monthly!Z12)</f>
        <v/>
      </c>
      <c r="F12" s="9">
        <f>-AVERAGE(PL_Monthly!AA12:PL_Monthly!AL12)</f>
        <v/>
      </c>
      <c r="G12" s="2" t="inlineStr">
        <is>
          <t>Cash positive Y3</t>
        </is>
      </c>
    </row>
    <row r="13">
      <c r="B13" s="7" t="inlineStr">
        <is>
          <t>Runway (mesi)</t>
        </is>
      </c>
      <c r="D13" s="27">
        <f>IF(M21&lt;=0,"BREAK",IF(C20&gt;=0,"INF",-M21/C20))</f>
        <v/>
      </c>
      <c r="E13" s="27">
        <f>IF(Y21&lt;=0,"BREAK",IF(O20&gt;=0,"INF",-Y21/O20))</f>
        <v/>
      </c>
      <c r="F13" s="27">
        <f>IF(AK21&lt;=0,"BREAK",IF(AA20&gt;=0,"INF",-AK21/AA20))</f>
        <v/>
      </c>
      <c r="G13" s="2" t="inlineStr">
        <is>
          <t>∞</t>
        </is>
      </c>
    </row>
    <row r="14">
      <c r="B14" s="7" t="inlineStr">
        <is>
          <t>Team (FTE medi)</t>
        </is>
      </c>
      <c r="D14" s="9">
        <f>Team!C6</f>
        <v/>
      </c>
      <c r="E14" s="9">
        <f>Team!D6</f>
        <v/>
      </c>
      <c r="F14" s="9">
        <f>Team!E6</f>
        <v/>
      </c>
      <c r="G14" s="2" t="inlineStr">
        <is>
          <t>5</t>
        </is>
      </c>
    </row>
    <row r="15">
      <c r="B15" s="7" t="inlineStr">
        <is>
          <t>PoC pubblicati (GitHub)</t>
        </is>
      </c>
      <c r="D15" s="8" t="n">
        <v>3</v>
      </c>
      <c r="E15" s="8" t="n">
        <v>3</v>
      </c>
      <c r="F15" s="8" t="n">
        <v>3</v>
      </c>
      <c r="G15" s="2" t="inlineStr">
        <is>
          <t>3</t>
        </is>
      </c>
    </row>
    <row r="16">
      <c r="B16" s="7" t="inlineStr">
        <is>
          <t>Blog post pubblicati</t>
        </is>
      </c>
      <c r="D16" s="8" t="n">
        <v>3</v>
      </c>
      <c r="E16" s="8" t="n">
        <v>4</v>
      </c>
      <c r="F16" s="8" t="n">
        <v>6</v>
      </c>
      <c r="G16" s="2" t="inlineStr">
        <is>
          <t>6</t>
        </is>
      </c>
    </row>
    <row r="17">
      <c r="B17" s="7" t="inlineStr">
        <is>
          <t>Advisor firmati</t>
        </is>
      </c>
      <c r="D17" s="8" t="n">
        <v>2</v>
      </c>
      <c r="E17" s="8" t="n">
        <v>4</v>
      </c>
      <c r="F17" s="8" t="n">
        <v>5</v>
      </c>
      <c r="G17" s="2" t="inlineStr">
        <is>
          <t>5+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5" customWidth="1" min="3" max="3"/>
    <col width="25" customWidth="1" min="4" max="4"/>
  </cols>
  <sheetData>
    <row r="1">
      <c r="A1" s="1" t="inlineStr">
        <is>
          <t>AETHERIS AI S.r.l.  ·  Financial Model v3.0 (Grounded &amp; Proven)</t>
        </is>
      </c>
    </row>
    <row r="2">
      <c r="A2" s="1" t="inlineStr">
        <is>
          <t>Smart&amp;Start Italia — Pre-application v3.0</t>
        </is>
      </c>
    </row>
    <row r="3">
      <c r="A3" s="2" t="inlineStr">
        <is>
          <t>Versione conservativa, founder solo + advisor</t>
        </is>
      </c>
    </row>
    <row r="5">
      <c r="B5" s="28" t="inlineStr">
        <is>
          <t>Sezione 1 — Dati anagrafici</t>
        </is>
      </c>
      <c r="C5" s="6" t="inlineStr"/>
    </row>
    <row r="6">
      <c r="B6" s="4" t="inlineStr">
        <is>
          <t>Ragione sociale</t>
        </is>
      </c>
      <c r="C6" s="6" t="inlineStr">
        <is>
          <t>Aetheris AI S.r.l.</t>
        </is>
      </c>
    </row>
    <row r="7">
      <c r="B7" s="4" t="inlineStr">
        <is>
          <t>Forma giuridica</t>
        </is>
      </c>
      <c r="C7" s="6" t="inlineStr">
        <is>
          <t>S.r.l. (Startup Innovativa)</t>
        </is>
      </c>
    </row>
    <row r="8">
      <c r="B8" s="4" t="inlineStr">
        <is>
          <t>Sede legale</t>
        </is>
      </c>
      <c r="C8" s="6" t="inlineStr">
        <is>
          <t>Toscana, Italia</t>
        </is>
      </c>
    </row>
    <row r="9">
      <c r="B9" s="4" t="inlineStr">
        <is>
          <t>Settore (ATECO)</t>
        </is>
      </c>
      <c r="C9" s="6" t="inlineStr">
        <is>
          <t>62.01 — Custom software development</t>
        </is>
      </c>
    </row>
    <row r="10">
      <c r="B10" s="4" t="inlineStr">
        <is>
          <t>Codice fiscale / P.IVA</t>
        </is>
      </c>
      <c r="C10" s="6" t="inlineStr">
        <is>
          <t>[Da compilare post-costituzione]</t>
        </is>
      </c>
    </row>
    <row r="11">
      <c r="B11" s="4" t="inlineStr">
        <is>
          <t>Team al momento della domanda</t>
        </is>
      </c>
      <c r="C11" s="6" t="inlineStr">
        <is>
          <t>1 founder + 2 advisor (AI Act + industry)</t>
        </is>
      </c>
    </row>
    <row r="12">
      <c r="B12" s="28" t="inlineStr">
        <is>
          <t>Sezione 2 — Founder</t>
        </is>
      </c>
      <c r="C12" s="6" t="inlineStr"/>
    </row>
    <row r="13">
      <c r="B13" s="4" t="inlineStr">
        <is>
          <t>Founder principale</t>
        </is>
      </c>
      <c r="C13" s="6" t="inlineStr">
        <is>
          <t>[Nome Cognome, Founder &amp; CEO/CTO]</t>
        </is>
      </c>
    </row>
    <row r="14">
      <c r="B14" s="4" t="inlineStr">
        <is>
          <t>Anni di esperienza AI/ML</t>
        </is>
      </c>
      <c r="C14" s="6" t="inlineStr">
        <is>
          <t>5+ anni</t>
        </is>
      </c>
    </row>
    <row r="15">
      <c r="B15" s="4" t="inlineStr">
        <is>
          <t>Track record production</t>
        </is>
      </c>
      <c r="C15" s="6" t="inlineStr">
        <is>
          <t>100k+ users/day, 99.9% uptime, €2M+ impact, 3 PoC pubblicati</t>
        </is>
      </c>
    </row>
    <row r="16">
      <c r="B16" s="28" t="inlineStr">
        <is>
          <t>Sezione 3 — Progetto</t>
        </is>
      </c>
      <c r="C16" s="6" t="inlineStr"/>
    </row>
    <row r="17">
      <c r="B17" s="4" t="inlineStr">
        <is>
          <t>Titolo del piano</t>
        </is>
      </c>
      <c r="C17" s="6" t="inlineStr">
        <is>
          <t>Aetheris AI — Applied AI Infrastructure for European Industry</t>
        </is>
      </c>
    </row>
    <row r="18">
      <c r="B18" s="4" t="inlineStr">
        <is>
          <t>Descrizione sintetica</t>
        </is>
      </c>
      <c r="C18" s="6" t="inlineStr">
        <is>
          <t>Piattaforma europea di Applied AI (GenAI + CV + Predictive AI + Agents) per aziende industriali nei verticali Energy e Manufacturing, conforme all'AI Act.</t>
        </is>
      </c>
    </row>
    <row r="19">
      <c r="B19" s="4" t="inlineStr">
        <is>
          <t>Importo richiesto (k€)</t>
        </is>
      </c>
      <c r="C19" s="29">
        <f>Assumptions!D30</f>
        <v/>
      </c>
    </row>
    <row r="20">
      <c r="B20" s="4" t="inlineStr">
        <is>
          <t>Spesa totale del piano (k€)</t>
        </is>
      </c>
      <c r="C20" s="29">
        <f>Assumptions!D30+50</f>
        <v/>
      </c>
    </row>
    <row r="21">
      <c r="B21" s="28" t="inlineStr">
        <is>
          <t>Sezione 4 — Innovatività</t>
        </is>
      </c>
      <c r="C21" s="6" t="inlineStr"/>
    </row>
    <row r="22">
      <c r="B22" s="4" t="inlineStr">
        <is>
          <t>Elementi di innovazione tecnologica</t>
        </is>
      </c>
      <c r="C22" s="6" t="inlineStr">
        <is>
          <t>Piattaforma multi-pilastro unificata, evaluation infrastructure proprietaria, AI Act-ready by design. 3 PoC pubblicati come prova.</t>
        </is>
      </c>
    </row>
    <row r="23">
      <c r="B23" s="4" t="inlineStr">
        <is>
          <t>Elementi di innovazione di processo</t>
        </is>
      </c>
      <c r="C23" s="6" t="inlineStr">
        <is>
          <t>Customer discovery strutturata, 5-Gate roadmap verificabile, Proof of Capability stack.</t>
        </is>
      </c>
    </row>
    <row r="24">
      <c r="B24" s="28" t="inlineStr">
        <is>
          <t>Sezione 5 — Mercato e go-to-market</t>
        </is>
      </c>
      <c r="C24" s="6" t="inlineStr"/>
    </row>
    <row r="25">
      <c r="B25" s="4" t="inlineStr">
        <is>
          <t>Mercato target</t>
        </is>
      </c>
      <c r="C25" s="6" t="inlineStr">
        <is>
          <t>Energy + Manufacturing in EU (Tuscany focus)</t>
        </is>
      </c>
    </row>
    <row r="26">
      <c r="B26" s="4" t="inlineStr">
        <is>
          <t>Bottom-up revenue Y1 (k€)</t>
        </is>
      </c>
      <c r="C26" s="29">
        <f>Revenue!D8</f>
        <v/>
      </c>
    </row>
    <row r="27">
      <c r="B27" s="4" t="inlineStr">
        <is>
          <t>Bottom-up revenue Y2 (k€)</t>
        </is>
      </c>
      <c r="C27" s="29">
        <f>Revenue!E8</f>
        <v/>
      </c>
    </row>
    <row r="28">
      <c r="B28" s="4" t="inlineStr">
        <is>
          <t>Bottom-up revenue Y3 (k€)</t>
        </is>
      </c>
      <c r="C28" s="29">
        <f>Revenue!F8</f>
        <v/>
      </c>
    </row>
    <row r="29">
      <c r="B29" s="28" t="inlineStr">
        <is>
          <t>Sezione 6 — Impatto occupazionale</t>
        </is>
      </c>
      <c r="C29" s="6" t="inlineStr"/>
    </row>
    <row r="30">
      <c r="B30" s="4" t="inlineStr">
        <is>
          <t>Nuovi posti di lavoro creati (3 anni)</t>
        </is>
      </c>
      <c r="C30" s="29">
        <f>Team!E10-1</f>
        <v/>
      </c>
    </row>
    <row r="31">
      <c r="B31" s="28" t="inlineStr">
        <is>
          <t>Sezione 7 — Use of funds Phase 1</t>
        </is>
      </c>
      <c r="C31" s="6" t="inlineStr"/>
    </row>
    <row r="32">
      <c r="B32" s="4" t="inlineStr">
        <is>
          <t>30% Founder stipend (Y1)</t>
        </is>
      </c>
      <c r="C32" s="29">
        <f>Assumptions!D30*0.30</f>
        <v/>
      </c>
    </row>
    <row r="33">
      <c r="B33" s="4" t="inlineStr">
        <is>
          <t>30% Cloud + PoC infrastructure</t>
        </is>
      </c>
      <c r="C33" s="29">
        <f>Assumptions!D30*0.30</f>
        <v/>
      </c>
    </row>
    <row r="34">
      <c r="B34" s="4" t="inlineStr">
        <is>
          <t>20% Customer pilot + discovery</t>
        </is>
      </c>
      <c r="C34" s="29">
        <f>Assumptions!D30*0.20</f>
        <v/>
      </c>
    </row>
    <row r="35">
      <c r="B35" s="4" t="inlineStr">
        <is>
          <t>10% Legal/AI Act compliance</t>
        </is>
      </c>
      <c r="C35" s="29">
        <f>Assumptions!D30*0.10</f>
        <v/>
      </c>
    </row>
    <row r="36">
      <c r="B36" s="4" t="inlineStr">
        <is>
          <t>10% Marketing + outreach</t>
        </is>
      </c>
      <c r="C36" s="29">
        <f>Assumptions!D30*0.10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2026-08-15T02:33:03Z</dcterms:created>
  <dcterms:modified xmlns:dcterms="http://purl.org/dc/terms/" xmlns:xsi="http://www.w3.org/2001/XMLSchema-instance" xsi:type="dcterms:W3CDTF">2026-08-15T02:33:03Z</dcterms:modified>
</cp:coreProperties>
</file>